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arit\Downloads\Stickerkita\stickerkita-order-tracker\public\templates\"/>
    </mc:Choice>
  </mc:AlternateContent>
  <xr:revisionPtr revIDLastSave="0" documentId="13_ncr:1_{46E88B7E-7684-4B56-82BA-CF5F066D7183}" xr6:coauthVersionLast="47" xr6:coauthVersionMax="47" xr10:uidLastSave="{00000000-0000-0000-0000-000000000000}"/>
  <bookViews>
    <workbookView xWindow="-110" yWindow="-110" windowWidth="19420" windowHeight="10300" activeTab="3" xr2:uid="{00000000-000D-0000-FFFF-FFFF00000000}"/>
  </bookViews>
  <sheets>
    <sheet name="LAIN" sheetId="1" r:id="rId1"/>
    <sheet name="SAMPUL RAYA AL" sheetId="2" r:id="rId2"/>
    <sheet name="PAKEJ BANNER (2)" sheetId="3" r:id="rId3"/>
    <sheet name="STICKE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 i="4" l="1"/>
  <c r="D3" i="4" s="1"/>
  <c r="I21" i="4"/>
  <c r="I24" i="4" s="1"/>
  <c r="I15" i="2"/>
  <c r="I6" i="2"/>
  <c r="D3" i="2" s="1"/>
  <c r="I7" i="4"/>
  <c r="I8" i="4" s="1"/>
  <c r="I24" i="3"/>
  <c r="I21" i="3"/>
  <c r="I15" i="3"/>
  <c r="I8" i="3"/>
  <c r="I20" i="2"/>
  <c r="I19" i="2"/>
  <c r="I18" i="2"/>
  <c r="I17" i="2"/>
  <c r="I16" i="2"/>
  <c r="I7" i="2"/>
  <c r="I8" i="2" s="1"/>
  <c r="I20" i="1"/>
  <c r="I19" i="1"/>
  <c r="I18" i="1"/>
  <c r="I17" i="1"/>
  <c r="I16" i="1"/>
  <c r="I15" i="1"/>
  <c r="I21" i="1" s="1"/>
  <c r="I24" i="1" s="1"/>
  <c r="I8" i="1"/>
  <c r="I21" i="2" l="1"/>
  <c r="I24" i="2" s="1"/>
</calcChain>
</file>

<file path=xl/sharedStrings.xml><?xml version="1.0" encoding="utf-8"?>
<sst xmlns="http://schemas.openxmlformats.org/spreadsheetml/2006/main" count="110" uniqueCount="49">
  <si>
    <r>
      <rPr>
        <sz val="10"/>
        <color theme="1"/>
        <rFont val="Calibri"/>
        <scheme val="minor"/>
      </rPr>
      <t xml:space="preserve">DIMILIKI OLEH : </t>
    </r>
    <r>
      <rPr>
        <b/>
        <sz val="10"/>
        <color theme="1"/>
        <rFont val="Calibri"/>
        <scheme val="minor"/>
      </rPr>
      <t>AL IKHSAN PRINTING</t>
    </r>
    <r>
      <rPr>
        <sz val="10"/>
        <color theme="1"/>
        <rFont val="Calibri"/>
        <scheme val="minor"/>
      </rPr>
      <t xml:space="preserve"> (202303032420 (003466133-A))</t>
    </r>
  </si>
  <si>
    <t>ALXXXXXX</t>
  </si>
  <si>
    <t>INVOICE</t>
  </si>
  <si>
    <r>
      <rPr>
        <b/>
        <sz val="12"/>
        <color theme="1"/>
        <rFont val="Calibri"/>
        <scheme val="minor"/>
      </rPr>
      <t>BILL FROM</t>
    </r>
    <r>
      <rPr>
        <b/>
        <sz val="11"/>
        <color theme="1"/>
        <rFont val="Calibri"/>
        <scheme val="minor"/>
      </rPr>
      <t xml:space="preserve">
AL IKHSAN PRINTING</t>
    </r>
    <r>
      <rPr>
        <b/>
        <sz val="12"/>
        <color theme="1"/>
        <rFont val="Calibri"/>
        <scheme val="minor"/>
      </rPr>
      <t xml:space="preserve">
</t>
    </r>
    <r>
      <rPr>
        <sz val="12"/>
        <color theme="1"/>
        <rFont val="Calibri"/>
        <scheme val="minor"/>
      </rPr>
      <t>No. 32, Jalan BPM5,
Taman Bukit Piatu Mutiara,
75450 Melaka</t>
    </r>
  </si>
  <si>
    <r>
      <rPr>
        <b/>
        <sz val="12"/>
        <color theme="1"/>
        <rFont val="Calibri"/>
        <scheme val="minor"/>
      </rPr>
      <t>BILL TO</t>
    </r>
    <r>
      <rPr>
        <sz val="11"/>
        <color theme="1"/>
        <rFont val="Calibri"/>
        <scheme val="minor"/>
      </rPr>
      <t xml:space="preserve">
[Name]
[Company Name]
[Street Address]
[City, ST ZIP Code]
[Phone]
</t>
    </r>
  </si>
  <si>
    <t>Invoice #:</t>
  </si>
  <si>
    <t>Invoice Date:</t>
  </si>
  <si>
    <t>Due Date:</t>
  </si>
  <si>
    <t>ID</t>
  </si>
  <si>
    <t>Description</t>
  </si>
  <si>
    <t>QTY</t>
  </si>
  <si>
    <t>PRICE</t>
  </si>
  <si>
    <t>TOTAL</t>
  </si>
  <si>
    <t>CETAK BAJU SUBLIMATION
Jenis  Kain :  Eyelet
Jenis Kolar  : Roundneck
Jenis Lengan : Lengan Pendek
Saiz :  -</t>
  </si>
  <si>
    <t>1,000pcs</t>
  </si>
  <si>
    <t>CETAK BAJU
Warna Baju :  -
Jenis Kain : -
Saiz :  1 warna</t>
  </si>
  <si>
    <t>1 pcs
1 pcs</t>
  </si>
  <si>
    <t>RM
RM</t>
  </si>
  <si>
    <t>CETAK APRON
Warna Apron :  -
Saiz Cetakan : 7inci x 7inci
Jenis Cetakan : Full Colour</t>
  </si>
  <si>
    <t>1 pcs</t>
  </si>
  <si>
    <t>CETAK TOPI
Warna Topi:  -
Saiz Cetakan : 3inci x 3inci
Jenis Cetakan : Full Colour</t>
  </si>
  <si>
    <t>WEDDING BOX
Saiz i:  13cmx6cmx13cm
Kod Design : 3inci x 3inci
Jenis Cetakan : Hitam Putih
CETAK NON WOOVAN BAG
Warna Bag :
Saiz Bag:  A4 (POTRAIT)
Saiz Cetakan : 4.5x 6.5 inci / 5.5x5.5 inci</t>
  </si>
  <si>
    <t>SAMPUL RAYA
Saiz :  15cmx8cm
Kod Design : -
Jenis Kertas : Art Paper 157gsm                                Position : Lanskap                                                    Packing : 10pcs/ pack</t>
  </si>
  <si>
    <t>50 pcs</t>
  </si>
  <si>
    <t>Sub Total</t>
  </si>
  <si>
    <t>DEPOSIT</t>
  </si>
  <si>
    <t>Shipping &amp; Handling</t>
  </si>
  <si>
    <t>Total Due</t>
  </si>
  <si>
    <t>TERMS AND CONDITIONS</t>
  </si>
  <si>
    <t>Deposit sebanyak RM15 akan dikenakan untuk memulakan proses design</t>
  </si>
  <si>
    <t>Pelangan dikehendaki membuat bayaran penuh untuk proses pencetakan</t>
  </si>
  <si>
    <t>Deposit/pembayaran  TIDAK akan dikembalikan.</t>
  </si>
  <si>
    <t xml:space="preserve">Pelangan perlu menyemak status penghataran  dengan pihak kurior selepas proses penghantaran </t>
  </si>
  <si>
    <t xml:space="preserve">dilakukan Jika berlakunya sebarang kerosakan terhadap  barang yang diterima, pelangan boleh </t>
  </si>
  <si>
    <t xml:space="preserve">memaklumkan kerosakan  dalam tempoh 7 hari selepas barang diterima. Pihak kami TIDAK akan </t>
  </si>
  <si>
    <t>melayan sebarang tuntutan selepas tempoh tersebut.</t>
  </si>
  <si>
    <t>Barang-barang PERCUMA tertakluk kepada simpanan stok yang ada, Pihak kami berhak menukar</t>
  </si>
  <si>
    <t>barang-barang yang lain jika stok yang ada telah tiada TANPA sebarang notis.</t>
  </si>
  <si>
    <r>
      <rPr>
        <b/>
        <sz val="11"/>
        <color theme="1" tint="0.249977111117893"/>
        <rFont val="Calibri"/>
        <scheme val="minor"/>
      </rPr>
      <t xml:space="preserve">
PLEASE MAKE A PAYMENT TO
</t>
    </r>
    <r>
      <rPr>
        <sz val="11"/>
        <color theme="1" tint="0.249977111117893"/>
        <rFont val="Calibri"/>
        <scheme val="minor"/>
      </rPr>
      <t xml:space="preserve">Beneficiary Name: </t>
    </r>
    <r>
      <rPr>
        <b/>
        <sz val="11"/>
        <color theme="1" tint="0.249977111117893"/>
        <rFont val="Calibri"/>
        <scheme val="minor"/>
      </rPr>
      <t>AL IKHSAN PRINTING</t>
    </r>
    <r>
      <rPr>
        <sz val="11"/>
        <color theme="1" tint="0.249977111117893"/>
        <rFont val="Calibri"/>
        <scheme val="minor"/>
      </rPr>
      <t xml:space="preserve">
Beneficiary Account Number: </t>
    </r>
    <r>
      <rPr>
        <b/>
        <sz val="11"/>
        <color theme="1" tint="0.249977111117893"/>
        <rFont val="Calibri"/>
        <scheme val="minor"/>
      </rPr>
      <t>04015010081946</t>
    </r>
    <r>
      <rPr>
        <sz val="11"/>
        <color theme="1" tint="0.249977111117893"/>
        <rFont val="Calibri"/>
        <scheme val="minor"/>
      </rPr>
      <t xml:space="preserve">
Bank Name : </t>
    </r>
    <r>
      <rPr>
        <b/>
        <sz val="11"/>
        <color theme="1" tint="0.249977111117893"/>
        <rFont val="Calibri"/>
        <scheme val="minor"/>
      </rPr>
      <t>BANK ISLAM</t>
    </r>
    <r>
      <rPr>
        <sz val="11"/>
        <color theme="1" tint="0.249977111117893"/>
        <rFont val="Calibri"/>
        <scheme val="minor"/>
      </rPr>
      <t xml:space="preserve">
</t>
    </r>
    <r>
      <rPr>
        <b/>
        <sz val="11"/>
        <color rgb="FF262626"/>
        <rFont val="Calibri"/>
        <scheme val="minor"/>
      </rPr>
      <t xml:space="preserve">
</t>
    </r>
    <r>
      <rPr>
        <b/>
        <sz val="18"/>
        <color theme="4"/>
        <rFont val="Calibri"/>
        <scheme val="minor"/>
      </rPr>
      <t>Thank you for your business!</t>
    </r>
    <r>
      <rPr>
        <b/>
        <sz val="11"/>
        <color rgb="FF262626"/>
        <rFont val="Calibri"/>
        <scheme val="minor"/>
      </rPr>
      <t xml:space="preserve">
</t>
    </r>
  </si>
  <si>
    <t>DIMILIKI OLEH : AL IKHLAS NETWORK - 202503013877 (MA0326522-U)</t>
  </si>
  <si>
    <r>
      <rPr>
        <b/>
        <sz val="12"/>
        <color theme="1"/>
        <rFont val="Calibri"/>
        <scheme val="minor"/>
      </rPr>
      <t>BILL FROM</t>
    </r>
    <r>
      <rPr>
        <b/>
        <sz val="11"/>
        <color theme="1"/>
        <rFont val="Calibri"/>
        <scheme val="minor"/>
      </rPr>
      <t xml:space="preserve">
AL IKHLAS NETWORK</t>
    </r>
    <r>
      <rPr>
        <b/>
        <sz val="12"/>
        <color theme="1"/>
        <rFont val="Calibri"/>
        <scheme val="minor"/>
      </rPr>
      <t xml:space="preserve">
</t>
    </r>
    <r>
      <rPr>
        <sz val="12"/>
        <color theme="1"/>
        <rFont val="Calibri"/>
        <scheme val="minor"/>
      </rPr>
      <t>No. 32, Jalan BPM5,
Taman Bukit Piatu Mutiara,
75450 Melaka</t>
    </r>
  </si>
  <si>
    <t xml:space="preserve">
TERMS &amp; CONDITIONS
Terima kasih di atas sokogan anda.
Pembayaran hendaklah dibuat ke dalam akaun seperti berikut:
Bank : AL IKHLAS NETWORK BANK ISLAM
No Akaun : 04024010048286
PROSES TEMPAHAN
Proses design : 1-3 hari bekerja
Proses cetak : 7-14 hari bekerja
Hari bekerja Isnin - Jumaat tidak termasuk sabtu ahad dan cuti umum
1. Deposit sebanyak RM30 akan dikenakan untuk memulakan proses design.
2. Pelanggan dikehendaki membuat bayaran PENUH untuk proses cetak dijalankan.
3. Deposit / pembayaran TIDAK AKAN dikembalikan selepas draf disahkan sebelum proses cetak.
4. Pelanggan perlu menyemak status penghantaran dengan pihak kurior sendiri selepas terima tracking number.
Pihak syarikat TIDAK AKAN bertanggungjawab untuk perkara berikut.
5. Draf tempahan melebihi 3kali akan dicaj RM10 setiap kali pembetulan seterusnya dibuat.
6. Pihak syarikat tidak akan bertanggungjawab untuk tempahan yang telah sah untuk proses cetak jika berlaku kesilapan pada draf tempahan.</t>
  </si>
  <si>
    <t xml:space="preserve">Pakej Banner
Saiz Banner : 1x10 kaki  &amp; 3x10 kaki
Jenis Cetakan : Full colour (1440dpi)
Material : Trapoline 300gsm
Finishing : Lubang &amp; Tali		</t>
  </si>
  <si>
    <r>
      <rPr>
        <b/>
        <sz val="11"/>
        <color theme="1" tint="0.249977111117893"/>
        <rFont val="Calibri"/>
        <scheme val="minor"/>
      </rPr>
      <t xml:space="preserve">
PLEASE MAKE A PAYMENT TO
</t>
    </r>
    <r>
      <rPr>
        <sz val="11"/>
        <color theme="1" tint="0.249977111117893"/>
        <rFont val="Calibri"/>
        <scheme val="minor"/>
      </rPr>
      <t xml:space="preserve">Beneficiary Name: </t>
    </r>
    <r>
      <rPr>
        <b/>
        <sz val="11"/>
        <color theme="1" tint="0.249977111117893"/>
        <rFont val="Calibri"/>
        <scheme val="minor"/>
      </rPr>
      <t>AM PRO SOLUTION</t>
    </r>
    <r>
      <rPr>
        <sz val="11"/>
        <color theme="1" tint="0.249977111117893"/>
        <rFont val="Calibri"/>
        <scheme val="minor"/>
      </rPr>
      <t xml:space="preserve">
Beneficiary Account Number: </t>
    </r>
    <r>
      <rPr>
        <b/>
        <sz val="11"/>
        <color theme="1" tint="0.249977111117893"/>
        <rFont val="Calibri"/>
        <scheme val="minor"/>
      </rPr>
      <t>04015010080361</t>
    </r>
    <r>
      <rPr>
        <sz val="11"/>
        <color theme="1" tint="0.249977111117893"/>
        <rFont val="Calibri"/>
        <scheme val="minor"/>
      </rPr>
      <t xml:space="preserve">
Bank Name : </t>
    </r>
    <r>
      <rPr>
        <b/>
        <sz val="11"/>
        <color theme="1" tint="0.249977111117893"/>
        <rFont val="Calibri"/>
        <scheme val="minor"/>
      </rPr>
      <t>BANK ISLAM</t>
    </r>
    <r>
      <rPr>
        <sz val="11"/>
        <color theme="1" tint="0.249977111117893"/>
        <rFont val="Calibri"/>
        <scheme val="minor"/>
      </rPr>
      <t xml:space="preserve">
</t>
    </r>
    <r>
      <rPr>
        <b/>
        <sz val="11"/>
        <color rgb="FF262626"/>
        <rFont val="Calibri"/>
        <scheme val="minor"/>
      </rPr>
      <t xml:space="preserve">
</t>
    </r>
    <r>
      <rPr>
        <b/>
        <sz val="18"/>
        <color theme="4"/>
        <rFont val="Calibri"/>
        <scheme val="minor"/>
      </rPr>
      <t>Thank you for your business!</t>
    </r>
    <r>
      <rPr>
        <b/>
        <sz val="11"/>
        <color rgb="FF262626"/>
        <rFont val="Calibri"/>
        <scheme val="minor"/>
      </rPr>
      <t xml:space="preserve">
</t>
    </r>
  </si>
  <si>
    <t>1PCS</t>
  </si>
  <si>
    <t>CETAK BAJU SHORT SLEEVE
Warna Baju :  BN
Jenis Kain : -
Saiz : L</t>
  </si>
  <si>
    <t>TERMS &amp; CONDITIONS
Terima kasih di atas sokogan anda.
Pembayaran hendaklah dibuat ke dalam akaun seperti berikut:
Bank : AL IKHSAN PRINTING BANK ISLAM
No Akaun :  04015010081946
PROSES TEMPAHAN
Proses design : 1-3 hari bekerja
Proses cetak : 7-14 hari bekerja
Hari bekerja Isnin - Jumaat tidak termasuk sabtu ahad dan cuti umum
1. Pelanggan dikehendaki untuk menyemak invois serta draf tempahan selepas diterima.
2. Pelanggan dikehendaki membuat bayaran PENUH untuk proses cetak dijalankan.
3. Deposit / pembayaran TIDAK AKAN dikembalikan selepas draf disahkan sebelum proses cetak.
4. Pelanggan perlu menyemak status penghantaran dengan pihak kurior sendiri selepas terima tracking number.
Pihak syarikat TIDAK AKAN bertanggungjawab untuk perkara berikut.
5. Draf tempahan melebihi 3kali akan dicaj RM10 setiap kali pembetulan seterusnya dibuat.
6. Pihak syarikat tidak akan bertanggungjawab untuk tempahan yang telah sah untuk proses cetak jika berlaku kesilapan pada draf tempahan.</t>
  </si>
  <si>
    <t>Saiz Sticker : 9 cm
Jenis Sticker : WATERPROOF
Jenis Potongan : Bulat</t>
  </si>
  <si>
    <t>1000pcs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</si>
</sst>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quot;RM&quot;#,##0.00"/>
    <numFmt numFmtId="166" formatCode="mmm\ dd\,\ yyyy"/>
    <numFmt numFmtId="167" formatCode="&quot;$&quot;#,##0.00"/>
    <numFmt numFmtId="168" formatCode="dd/mm/yyyy"/>
  </numFmts>
  <fonts count="22" x14ac:knownFonts="1">
    <font>
      <sz val="11"/>
      <color theme="1"/>
      <name val="Calibri"/>
    </font>
    <font>
      <sz val="10"/>
      <color theme="1"/>
      <name val="Calibri"/>
    </font>
    <font>
      <b/>
      <sz val="22"/>
      <color theme="0"/>
      <name val="Calibri"/>
    </font>
    <font>
      <b/>
      <sz val="12"/>
      <color theme="1"/>
      <name val="Calibri"/>
    </font>
    <font>
      <sz val="11"/>
      <color theme="0"/>
      <name val="Calibri"/>
    </font>
    <font>
      <b/>
      <sz val="12"/>
      <color theme="0"/>
      <name val="Calibri"/>
    </font>
    <font>
      <sz val="11"/>
      <color theme="1" tint="0.249977111117893"/>
      <name val="Calibri"/>
    </font>
    <font>
      <b/>
      <sz val="11"/>
      <color theme="1"/>
      <name val="Calibri"/>
    </font>
    <font>
      <b/>
      <sz val="11"/>
      <color rgb="FF262626"/>
      <name val="Calibri"/>
    </font>
    <font>
      <b/>
      <sz val="13"/>
      <color theme="0"/>
      <name val="Calibri"/>
    </font>
    <font>
      <b/>
      <sz val="11"/>
      <color rgb="FFFF0000"/>
      <name val="Calibri"/>
    </font>
    <font>
      <b/>
      <sz val="11"/>
      <color theme="1" tint="0.249977111117893"/>
      <name val="Calibri"/>
    </font>
    <font>
      <sz val="10"/>
      <color theme="1"/>
      <name val="Calibri"/>
      <scheme val="minor"/>
    </font>
    <font>
      <b/>
      <sz val="10"/>
      <color theme="1"/>
      <name val="Calibri"/>
      <scheme val="minor"/>
    </font>
    <font>
      <b/>
      <sz val="12"/>
      <color theme="1"/>
      <name val="Calibri"/>
      <scheme val="minor"/>
    </font>
    <font>
      <b/>
      <sz val="11"/>
      <color theme="1"/>
      <name val="Calibri"/>
      <scheme val="minor"/>
    </font>
    <font>
      <sz val="12"/>
      <color theme="1"/>
      <name val="Calibri"/>
      <scheme val="minor"/>
    </font>
    <font>
      <sz val="11"/>
      <color theme="1"/>
      <name val="Calibri"/>
      <scheme val="minor"/>
    </font>
    <font>
      <b/>
      <sz val="11"/>
      <color theme="1" tint="0.249977111117893"/>
      <name val="Calibri"/>
      <scheme val="minor"/>
    </font>
    <font>
      <sz val="11"/>
      <color theme="1" tint="0.249977111117893"/>
      <name val="Calibri"/>
      <scheme val="minor"/>
    </font>
    <font>
      <b/>
      <sz val="11"/>
      <color rgb="FF262626"/>
      <name val="Calibri"/>
      <scheme val="minor"/>
    </font>
    <font>
      <b/>
      <sz val="18"/>
      <color theme="4"/>
      <name val="Calibri"/>
      <scheme val="minor"/>
    </font>
  </fonts>
  <fills count="5">
    <fill>
      <patternFill patternType="none"/>
    </fill>
    <fill>
      <patternFill patternType="gray125"/>
    </fill>
    <fill>
      <patternFill patternType="solid">
        <fgColor theme="0"/>
      </patternFill>
    </fill>
    <fill>
      <patternFill patternType="solid">
        <fgColor theme="7" tint="0.39988402966399123"/>
        <bgColor indexed="65"/>
      </patternFill>
    </fill>
    <fill>
      <patternFill patternType="solid">
        <fgColor theme="1"/>
      </patternFill>
    </fill>
  </fills>
  <borders count="27">
    <border>
      <left/>
      <right/>
      <top/>
      <bottom/>
      <diagonal/>
    </border>
    <border>
      <left/>
      <right/>
      <top/>
      <bottom style="thin">
        <color theme="0" tint="-0.34998626667073579"/>
      </bottom>
      <diagonal/>
    </border>
    <border>
      <left style="thin">
        <color auto="1"/>
      </left>
      <right style="thin">
        <color auto="1"/>
      </right>
      <top style="thin">
        <color auto="1"/>
      </top>
      <bottom style="thin">
        <color auto="1"/>
      </bottom>
      <diagonal/>
    </border>
    <border>
      <left/>
      <right style="thin">
        <color theme="4"/>
      </right>
      <top style="thin">
        <color theme="4"/>
      </top>
      <bottom style="thin">
        <color theme="1"/>
      </bottom>
      <diagonal/>
    </border>
    <border>
      <left style="thin">
        <color theme="4"/>
      </left>
      <right style="thin">
        <color theme="4"/>
      </right>
      <top style="thin">
        <color theme="4"/>
      </top>
      <bottom style="thin">
        <color theme="1"/>
      </bottom>
      <diagonal/>
    </border>
    <border>
      <left style="thin">
        <color theme="4"/>
      </left>
      <right style="thin">
        <color theme="1"/>
      </right>
      <top style="thin">
        <color theme="4"/>
      </top>
      <bottom style="thin">
        <color theme="1"/>
      </bottom>
      <diagonal/>
    </border>
    <border>
      <left/>
      <right style="thin">
        <color theme="1"/>
      </right>
      <top style="thin">
        <color theme="4"/>
      </top>
      <bottom style="thin">
        <color theme="1"/>
      </bottom>
      <diagonal/>
    </border>
    <border>
      <left style="thin">
        <color auto="1"/>
      </left>
      <right style="thin">
        <color auto="1"/>
      </right>
      <top style="thin">
        <color auto="1"/>
      </top>
      <bottom style="thin">
        <color theme="1"/>
      </bottom>
      <diagonal/>
    </border>
    <border>
      <left/>
      <right style="thin">
        <color theme="4"/>
      </right>
      <top/>
      <bottom style="thin">
        <color theme="1"/>
      </bottom>
      <diagonal/>
    </border>
    <border>
      <left style="thin">
        <color theme="4"/>
      </left>
      <right style="thin">
        <color theme="4"/>
      </right>
      <top/>
      <bottom style="thin">
        <color theme="1"/>
      </bottom>
      <diagonal/>
    </border>
    <border>
      <left style="thin">
        <color theme="4"/>
      </left>
      <right style="thin">
        <color theme="1"/>
      </right>
      <top/>
      <bottom style="thin">
        <color theme="1"/>
      </bottom>
      <diagonal/>
    </border>
    <border>
      <left/>
      <right style="thin">
        <color theme="1"/>
      </right>
      <top/>
      <bottom style="thin">
        <color theme="1"/>
      </bottom>
      <diagonal/>
    </border>
    <border>
      <left style="thin">
        <color auto="1"/>
      </left>
      <right style="thin">
        <color auto="1"/>
      </right>
      <top/>
      <bottom/>
      <diagonal/>
    </border>
    <border>
      <left/>
      <right style="thin">
        <color theme="1"/>
      </right>
      <top/>
      <bottom/>
      <diagonal/>
    </border>
    <border>
      <left style="thin">
        <color auto="1"/>
      </left>
      <right style="thin">
        <color auto="1"/>
      </right>
      <top style="thin">
        <color theme="1"/>
      </top>
      <bottom style="thin">
        <color theme="1"/>
      </bottom>
      <diagonal/>
    </border>
    <border>
      <left/>
      <right style="thin">
        <color theme="4"/>
      </right>
      <top style="thin">
        <color theme="1"/>
      </top>
      <bottom style="thin">
        <color theme="1"/>
      </bottom>
      <diagonal/>
    </border>
    <border>
      <left style="thin">
        <color theme="4"/>
      </left>
      <right style="thin">
        <color theme="4"/>
      </right>
      <top style="thin">
        <color theme="1"/>
      </top>
      <bottom style="thin">
        <color theme="1"/>
      </bottom>
      <diagonal/>
    </border>
    <border>
      <left style="thin">
        <color theme="4"/>
      </left>
      <right style="thin">
        <color theme="1"/>
      </right>
      <top style="thin">
        <color theme="1"/>
      </top>
      <bottom style="thin">
        <color theme="1"/>
      </bottom>
      <diagonal/>
    </border>
    <border>
      <left style="thin">
        <color theme="1"/>
      </left>
      <right style="thin">
        <color theme="1"/>
      </right>
      <top style="thin">
        <color theme="1"/>
      </top>
      <bottom style="thin">
        <color theme="1"/>
      </bottom>
      <diagonal/>
    </border>
    <border>
      <left/>
      <right style="thin">
        <color theme="1"/>
      </right>
      <top style="thin">
        <color theme="1"/>
      </top>
      <bottom style="thin">
        <color theme="1"/>
      </bottom>
      <diagonal/>
    </border>
    <border>
      <left/>
      <right style="thin">
        <color theme="4"/>
      </right>
      <top/>
      <bottom/>
      <diagonal/>
    </border>
    <border>
      <left style="thin">
        <color theme="4"/>
      </left>
      <right style="thin">
        <color theme="4"/>
      </right>
      <top/>
      <bottom/>
      <diagonal/>
    </border>
    <border>
      <left style="thin">
        <color theme="4"/>
      </left>
      <right style="thin">
        <color theme="1"/>
      </right>
      <top/>
      <bottom/>
      <diagonal/>
    </border>
    <border>
      <left style="thin">
        <color auto="1"/>
      </left>
      <right style="thin">
        <color auto="1"/>
      </right>
      <top/>
      <bottom style="thin">
        <color auto="1"/>
      </bottom>
      <diagonal/>
    </border>
    <border>
      <left style="thin">
        <color theme="1"/>
      </left>
      <right style="thin">
        <color theme="1"/>
      </right>
      <top/>
      <bottom style="thin">
        <color theme="1"/>
      </bottom>
      <diagonal/>
    </border>
    <border>
      <left style="thin">
        <color theme="1"/>
      </left>
      <right style="thin">
        <color theme="1"/>
      </right>
      <top style="thin">
        <color theme="1"/>
      </top>
      <bottom/>
      <diagonal/>
    </border>
    <border>
      <left/>
      <right style="thin">
        <color auto="1"/>
      </right>
      <top style="thin">
        <color auto="1"/>
      </top>
      <bottom style="thin">
        <color auto="1"/>
      </bottom>
      <diagonal/>
    </border>
  </borders>
  <cellStyleXfs count="1">
    <xf numFmtId="0" fontId="0" fillId="0" borderId="0"/>
  </cellStyleXfs>
  <cellXfs count="74">
    <xf numFmtId="0" fontId="0" fillId="0" borderId="0" xfId="0"/>
    <xf numFmtId="0" fontId="0" fillId="2" borderId="0" xfId="0" applyFill="1"/>
    <xf numFmtId="0" fontId="1" fillId="2" borderId="0" xfId="0" applyFont="1" applyFill="1" applyAlignment="1">
      <alignment horizontal="left"/>
    </xf>
    <xf numFmtId="0" fontId="0" fillId="2" borderId="1" xfId="0" applyFill="1" applyBorder="1"/>
    <xf numFmtId="0" fontId="0" fillId="3" borderId="0" xfId="0" applyFill="1"/>
    <xf numFmtId="0" fontId="4" fillId="4" borderId="0" xfId="0" applyFont="1" applyFill="1" applyAlignment="1">
      <alignment horizontal="right"/>
    </xf>
    <xf numFmtId="0" fontId="4" fillId="4" borderId="0" xfId="0" applyFont="1" applyFill="1"/>
    <xf numFmtId="0" fontId="5" fillId="4" borderId="2" xfId="0" applyFont="1" applyFill="1" applyBorder="1" applyAlignment="1">
      <alignment horizontal="center" vertical="center"/>
    </xf>
    <xf numFmtId="0" fontId="5" fillId="4" borderId="6" xfId="0" applyFont="1" applyFill="1" applyBorder="1" applyAlignment="1">
      <alignment horizontal="center" vertical="center"/>
    </xf>
    <xf numFmtId="164" fontId="0" fillId="2" borderId="7" xfId="0" applyNumberFormat="1" applyFill="1" applyBorder="1" applyAlignment="1">
      <alignment horizontal="center" vertical="center"/>
    </xf>
    <xf numFmtId="0" fontId="6" fillId="2" borderId="11" xfId="0" applyFont="1" applyFill="1" applyBorder="1" applyAlignment="1">
      <alignment horizontal="center" vertical="center"/>
    </xf>
    <xf numFmtId="165" fontId="6" fillId="2" borderId="11" xfId="0" applyNumberFormat="1" applyFont="1" applyFill="1" applyBorder="1" applyAlignment="1">
      <alignment horizontal="center" vertical="center"/>
    </xf>
    <xf numFmtId="164" fontId="0" fillId="2" borderId="12" xfId="0" applyNumberFormat="1" applyFill="1" applyBorder="1" applyAlignment="1">
      <alignment horizontal="center" vertical="center"/>
    </xf>
    <xf numFmtId="0" fontId="6" fillId="2" borderId="13" xfId="0" applyFont="1" applyFill="1" applyBorder="1" applyAlignment="1">
      <alignment horizontal="center" vertical="center"/>
    </xf>
    <xf numFmtId="165" fontId="6" fillId="2" borderId="13" xfId="0" applyNumberFormat="1" applyFont="1" applyFill="1" applyBorder="1" applyAlignment="1">
      <alignment horizontal="center" vertical="center"/>
    </xf>
    <xf numFmtId="164" fontId="0" fillId="2" borderId="14" xfId="0" applyNumberFormat="1" applyFill="1" applyBorder="1" applyAlignment="1">
      <alignment horizontal="center" vertical="center"/>
    </xf>
    <xf numFmtId="0" fontId="6" fillId="2" borderId="18" xfId="0"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0" fillId="2" borderId="23" xfId="0" applyNumberFormat="1" applyFill="1" applyBorder="1" applyAlignment="1">
      <alignment horizontal="center" vertical="center"/>
    </xf>
    <xf numFmtId="0" fontId="7" fillId="2" borderId="0" xfId="0" applyFont="1" applyFill="1" applyAlignment="1">
      <alignment horizontal="right" vertical="center"/>
    </xf>
    <xf numFmtId="0" fontId="7" fillId="2" borderId="0" xfId="0" applyFont="1" applyFill="1" applyAlignment="1">
      <alignment horizontal="left" vertical="center"/>
    </xf>
    <xf numFmtId="0" fontId="0" fillId="2" borderId="0" xfId="0" applyFill="1" applyAlignment="1">
      <alignment horizontal="left" vertical="center"/>
    </xf>
    <xf numFmtId="166" fontId="4" fillId="4" borderId="0" xfId="0" applyNumberFormat="1" applyFont="1" applyFill="1"/>
    <xf numFmtId="0" fontId="5" fillId="4" borderId="6" xfId="0" applyFont="1" applyFill="1" applyBorder="1" applyAlignment="1">
      <alignment horizontal="right" vertical="center"/>
    </xf>
    <xf numFmtId="165" fontId="6" fillId="2" borderId="11" xfId="0" applyNumberFormat="1" applyFont="1" applyFill="1" applyBorder="1" applyAlignment="1">
      <alignment vertical="center"/>
    </xf>
    <xf numFmtId="165" fontId="6" fillId="2" borderId="13" xfId="0" applyNumberFormat="1" applyFont="1" applyFill="1" applyBorder="1" applyAlignment="1">
      <alignment vertical="center"/>
    </xf>
    <xf numFmtId="165" fontId="6" fillId="2" borderId="19" xfId="0" applyNumberFormat="1" applyFont="1" applyFill="1" applyBorder="1" applyAlignment="1">
      <alignment vertical="center"/>
    </xf>
    <xf numFmtId="165" fontId="6" fillId="2" borderId="18" xfId="0" applyNumberFormat="1" applyFont="1" applyFill="1" applyBorder="1" applyAlignment="1">
      <alignment horizontal="right" vertical="center"/>
    </xf>
    <xf numFmtId="165" fontId="6" fillId="2" borderId="24" xfId="0" applyNumberFormat="1" applyFont="1" applyFill="1" applyBorder="1" applyAlignment="1">
      <alignment horizontal="right" vertical="center"/>
    </xf>
    <xf numFmtId="165" fontId="9" fillId="4" borderId="18" xfId="0" applyNumberFormat="1" applyFont="1" applyFill="1" applyBorder="1" applyAlignment="1">
      <alignment horizontal="right" vertical="center"/>
    </xf>
    <xf numFmtId="167" fontId="0" fillId="2" borderId="0" xfId="0" applyNumberFormat="1" applyFill="1" applyAlignment="1">
      <alignment horizontal="right" vertical="center"/>
    </xf>
    <xf numFmtId="0" fontId="6" fillId="2" borderId="11" xfId="0" applyFont="1" applyFill="1" applyBorder="1" applyAlignment="1">
      <alignment horizontal="center" vertical="center" wrapText="1"/>
    </xf>
    <xf numFmtId="165" fontId="6" fillId="2" borderId="11" xfId="0" applyNumberFormat="1" applyFont="1" applyFill="1" applyBorder="1" applyAlignment="1">
      <alignment horizontal="center" vertical="center" wrapText="1"/>
    </xf>
    <xf numFmtId="0" fontId="6" fillId="2" borderId="25" xfId="0" applyFont="1" applyFill="1" applyBorder="1" applyAlignment="1">
      <alignment horizontal="center" vertical="center"/>
    </xf>
    <xf numFmtId="0" fontId="6" fillId="2" borderId="2" xfId="0" applyFont="1" applyFill="1" applyBorder="1" applyAlignment="1">
      <alignment horizontal="center" vertical="center" wrapText="1"/>
    </xf>
    <xf numFmtId="168" fontId="4" fillId="4" borderId="0" xfId="0" applyNumberFormat="1" applyFont="1" applyFill="1"/>
    <xf numFmtId="2" fontId="6" fillId="2" borderId="11" xfId="0" applyNumberFormat="1" applyFont="1" applyFill="1" applyBorder="1" applyAlignment="1">
      <alignment horizontal="center" vertical="center" wrapText="1"/>
    </xf>
    <xf numFmtId="2" fontId="6" fillId="2" borderId="11" xfId="0" applyNumberFormat="1" applyFont="1" applyFill="1" applyBorder="1" applyAlignment="1">
      <alignment horizontal="center" vertical="center"/>
    </xf>
    <xf numFmtId="2" fontId="6" fillId="2" borderId="13" xfId="0" applyNumberFormat="1" applyFont="1" applyFill="1" applyBorder="1" applyAlignment="1">
      <alignment horizontal="center" vertical="center"/>
    </xf>
    <xf numFmtId="2" fontId="6" fillId="2" borderId="13" xfId="0" applyNumberFormat="1" applyFont="1" applyFill="1" applyBorder="1" applyAlignment="1">
      <alignment vertical="center"/>
    </xf>
    <xf numFmtId="2" fontId="6" fillId="2" borderId="19" xfId="0" applyNumberFormat="1" applyFont="1" applyFill="1" applyBorder="1" applyAlignment="1">
      <alignment horizontal="center" vertical="center"/>
    </xf>
    <xf numFmtId="2" fontId="6" fillId="2" borderId="19" xfId="0" applyNumberFormat="1" applyFont="1" applyFill="1" applyBorder="1" applyAlignment="1">
      <alignment vertical="center"/>
    </xf>
    <xf numFmtId="2" fontId="6" fillId="2" borderId="13" xfId="0" applyNumberFormat="1" applyFont="1" applyFill="1" applyBorder="1" applyAlignment="1">
      <alignment horizontal="center" vertical="center" wrapText="1"/>
    </xf>
    <xf numFmtId="2" fontId="6" fillId="2" borderId="13" xfId="0" applyNumberFormat="1" applyFont="1" applyFill="1" applyBorder="1" applyAlignment="1">
      <alignment vertical="center" wrapText="1"/>
    </xf>
    <xf numFmtId="2" fontId="6" fillId="2" borderId="26" xfId="0" applyNumberFormat="1" applyFont="1" applyFill="1" applyBorder="1" applyAlignment="1">
      <alignment horizontal="center" vertical="center"/>
    </xf>
    <xf numFmtId="2" fontId="6" fillId="2" borderId="11" xfId="0" applyNumberFormat="1" applyFont="1" applyFill="1" applyBorder="1" applyAlignment="1">
      <alignment vertical="center"/>
    </xf>
    <xf numFmtId="2" fontId="6" fillId="2" borderId="18" xfId="0" applyNumberFormat="1" applyFont="1" applyFill="1" applyBorder="1" applyAlignment="1">
      <alignment horizontal="right" vertical="center"/>
    </xf>
    <xf numFmtId="2" fontId="6" fillId="2" borderId="24" xfId="0" applyNumberFormat="1" applyFont="1" applyFill="1" applyBorder="1" applyAlignment="1">
      <alignment horizontal="right" vertical="center"/>
    </xf>
    <xf numFmtId="2" fontId="9" fillId="4" borderId="18" xfId="0" applyNumberFormat="1" applyFont="1" applyFill="1" applyBorder="1" applyAlignment="1">
      <alignment horizontal="right" vertical="center"/>
    </xf>
    <xf numFmtId="0" fontId="7" fillId="2" borderId="0" xfId="0" applyFont="1" applyFill="1" applyAlignment="1">
      <alignment horizontal="right" vertical="center"/>
    </xf>
    <xf numFmtId="0" fontId="7" fillId="2" borderId="13" xfId="0" applyFont="1" applyFill="1" applyBorder="1" applyAlignment="1">
      <alignment horizontal="right" vertical="center"/>
    </xf>
    <xf numFmtId="0" fontId="3" fillId="2" borderId="0" xfId="0" applyFont="1" applyFill="1" applyAlignment="1">
      <alignment horizontal="left" vertical="top" wrapText="1"/>
    </xf>
    <xf numFmtId="0" fontId="0" fillId="2" borderId="0" xfId="0" applyFill="1" applyAlignment="1">
      <alignment horizontal="left" vertical="top" wrapText="1"/>
    </xf>
    <xf numFmtId="0" fontId="18" fillId="2" borderId="0" xfId="0" applyFont="1" applyFill="1" applyAlignment="1">
      <alignment horizontal="left" vertical="top" wrapText="1"/>
    </xf>
    <xf numFmtId="0" fontId="8" fillId="2" borderId="0" xfId="0" applyFont="1" applyFill="1" applyAlignment="1">
      <alignment horizontal="left" vertical="top" wrapText="1"/>
    </xf>
    <xf numFmtId="0" fontId="0" fillId="2" borderId="20" xfId="0" applyFill="1" applyBorder="1" applyAlignment="1">
      <alignment horizontal="left" vertical="center"/>
    </xf>
    <xf numFmtId="0" fontId="0" fillId="2" borderId="21" xfId="0" applyFill="1" applyBorder="1" applyAlignment="1">
      <alignment horizontal="left" vertical="center"/>
    </xf>
    <xf numFmtId="0" fontId="0" fillId="2" borderId="22" xfId="0" applyFill="1" applyBorder="1" applyAlignment="1">
      <alignment horizontal="left" vertical="center"/>
    </xf>
    <xf numFmtId="0" fontId="0" fillId="2" borderId="15" xfId="0" applyFill="1" applyBorder="1" applyAlignment="1">
      <alignment horizontal="left" vertical="center"/>
    </xf>
    <xf numFmtId="0" fontId="0" fillId="2" borderId="16" xfId="0" applyFill="1" applyBorder="1" applyAlignment="1">
      <alignment horizontal="left" vertical="center"/>
    </xf>
    <xf numFmtId="0" fontId="0" fillId="2" borderId="17" xfId="0" applyFill="1"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0" fillId="2" borderId="10" xfId="0" applyFill="1" applyBorder="1" applyAlignment="1">
      <alignment horizontal="left" vertical="center"/>
    </xf>
    <xf numFmtId="0" fontId="2" fillId="4" borderId="0" xfId="0" applyFont="1" applyFill="1" applyAlignment="1">
      <alignment horizontal="right" vertical="top"/>
    </xf>
    <xf numFmtId="0" fontId="5" fillId="4" borderId="3" xfId="0" applyFont="1" applyFill="1" applyBorder="1" applyAlignment="1">
      <alignment horizontal="left" vertical="center"/>
    </xf>
    <xf numFmtId="0" fontId="5" fillId="4" borderId="4" xfId="0" applyFont="1" applyFill="1" applyBorder="1" applyAlignment="1">
      <alignment horizontal="left" vertical="center"/>
    </xf>
    <xf numFmtId="0" fontId="5" fillId="4" borderId="5" xfId="0" applyFont="1" applyFill="1" applyBorder="1" applyAlignment="1">
      <alignment horizontal="left" vertical="center"/>
    </xf>
    <xf numFmtId="0" fontId="0" fillId="2" borderId="8" xfId="0" applyFill="1" applyBorder="1" applyAlignment="1">
      <alignment horizontal="left" vertical="center" wrapText="1"/>
    </xf>
    <xf numFmtId="2" fontId="7" fillId="2" borderId="13" xfId="0" applyNumberFormat="1" applyFont="1" applyFill="1" applyBorder="1" applyAlignment="1">
      <alignment horizontal="right" vertical="center"/>
    </xf>
    <xf numFmtId="0" fontId="11" fillId="2" borderId="0" xfId="0" applyFont="1" applyFill="1" applyAlignment="1">
      <alignment horizontal="left" vertical="top" wrapText="1"/>
    </xf>
    <xf numFmtId="0" fontId="10" fillId="2" borderId="2" xfId="0" applyFont="1" applyFill="1" applyBorder="1" applyAlignment="1">
      <alignment horizontal="left" vertical="center" wrapText="1"/>
    </xf>
    <xf numFmtId="0" fontId="10" fillId="2" borderId="2" xfId="0" applyFont="1" applyFill="1" applyBorder="1" applyAlignment="1">
      <alignment horizontal="left" vertical="center"/>
    </xf>
    <xf numFmtId="0" fontId="0" fillId="2" borderId="2" xfId="0"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180893</xdr:rowOff>
    </xdr:from>
    <xdr:to>
      <xdr:col>2</xdr:col>
      <xdr:colOff>27508</xdr:colOff>
      <xdr:row>5</xdr:row>
      <xdr:rowOff>28574</xdr:rowOff>
    </xdr:to>
    <xdr:pic>
      <xdr:nvPicPr>
        <xdr:cNvPr id="2" name="/xl/media/image.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180893</xdr:rowOff>
    </xdr:from>
    <xdr:to>
      <xdr:col>2</xdr:col>
      <xdr:colOff>27508</xdr:colOff>
      <xdr:row>5</xdr:row>
      <xdr:rowOff>28574</xdr:rowOff>
    </xdr:to>
    <xdr:pic>
      <xdr:nvPicPr>
        <xdr:cNvPr id="2" name="/xl/media/image2.jpg">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twoCellAnchor editAs="oneCell">
    <xdr:from>
      <xdr:col>0</xdr:col>
      <xdr:colOff>38100</xdr:colOff>
      <xdr:row>0</xdr:row>
      <xdr:rowOff>180340</xdr:rowOff>
    </xdr:from>
    <xdr:to>
      <xdr:col>2</xdr:col>
      <xdr:colOff>85725</xdr:colOff>
      <xdr:row>5</xdr:row>
      <xdr:rowOff>36830</xdr:rowOff>
    </xdr:to>
    <xdr:pic>
      <xdr:nvPicPr>
        <xdr:cNvPr id="3" name="/xl/media/image.pn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0</xdr:row>
      <xdr:rowOff>180893</xdr:rowOff>
    </xdr:from>
    <xdr:to>
      <xdr:col>2</xdr:col>
      <xdr:colOff>27508</xdr:colOff>
      <xdr:row>5</xdr:row>
      <xdr:rowOff>28574</xdr:rowOff>
    </xdr:to>
    <xdr:pic>
      <xdr:nvPicPr>
        <xdr:cNvPr id="2" name="/xl/media/image3.jpg">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38100</xdr:colOff>
      <xdr:row>0</xdr:row>
      <xdr:rowOff>180893</xdr:rowOff>
    </xdr:from>
    <xdr:to>
      <xdr:col>2</xdr:col>
      <xdr:colOff>27508</xdr:colOff>
      <xdr:row>5</xdr:row>
      <xdr:rowOff>28574</xdr:rowOff>
    </xdr:to>
    <xdr:pic>
      <xdr:nvPicPr>
        <xdr:cNvPr id="2" name="/xl/media/image4.jp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opLeftCell="A19" workbookViewId="0"/>
  </sheetViews>
  <sheetFormatPr defaultColWidth="9" defaultRowHeight="14.5" x14ac:dyDescent="0.35"/>
  <cols>
    <col min="1" max="1" width="5.7265625" style="1" customWidth="1"/>
    <col min="2" max="5" width="9.1796875" style="1"/>
    <col min="6" max="6" width="5.26953125" style="1" customWidth="1"/>
    <col min="7" max="7" width="10.1796875" style="1" customWidth="1"/>
    <col min="8" max="8" width="13" style="1" customWidth="1"/>
    <col min="9" max="9" width="12.453125" style="1" customWidth="1"/>
  </cols>
  <sheetData>
    <row r="1" spans="1:9" x14ac:dyDescent="0.35">
      <c r="C1" s="2" t="s">
        <v>0</v>
      </c>
    </row>
    <row r="2" spans="1:9" x14ac:dyDescent="0.35">
      <c r="D2" s="3"/>
      <c r="E2" s="3"/>
      <c r="F2" s="3"/>
      <c r="G2" s="3"/>
      <c r="H2" s="3"/>
      <c r="I2" s="3"/>
    </row>
    <row r="3" spans="1:9" x14ac:dyDescent="0.35">
      <c r="D3" s="1" t="s">
        <v>1</v>
      </c>
    </row>
    <row r="4" spans="1:9" x14ac:dyDescent="0.35">
      <c r="H4" s="4"/>
      <c r="I4" s="4"/>
    </row>
    <row r="5" spans="1:9" ht="28.5" x14ac:dyDescent="0.35">
      <c r="H5" s="64" t="s">
        <v>2</v>
      </c>
      <c r="I5" s="64"/>
    </row>
    <row r="6" spans="1:9" x14ac:dyDescent="0.35">
      <c r="A6" s="51" t="s">
        <v>3</v>
      </c>
      <c r="B6" s="51"/>
      <c r="C6" s="51"/>
      <c r="D6" s="52" t="s">
        <v>4</v>
      </c>
      <c r="E6" s="52"/>
      <c r="F6" s="52"/>
      <c r="H6" s="5" t="s">
        <v>5</v>
      </c>
      <c r="I6" s="6">
        <v>100</v>
      </c>
    </row>
    <row r="7" spans="1:9" x14ac:dyDescent="0.35">
      <c r="A7" s="51"/>
      <c r="B7" s="51"/>
      <c r="C7" s="51"/>
      <c r="D7" s="52"/>
      <c r="E7" s="52"/>
      <c r="F7" s="52"/>
      <c r="H7" s="5" t="s">
        <v>6</v>
      </c>
      <c r="I7" s="22">
        <v>45141</v>
      </c>
    </row>
    <row r="8" spans="1:9" x14ac:dyDescent="0.35">
      <c r="A8" s="51"/>
      <c r="B8" s="51"/>
      <c r="C8" s="51"/>
      <c r="D8" s="52"/>
      <c r="E8" s="52"/>
      <c r="F8" s="52"/>
      <c r="H8" s="5" t="s">
        <v>7</v>
      </c>
      <c r="I8" s="22">
        <f>(I7+10)</f>
        <v>45151</v>
      </c>
    </row>
    <row r="9" spans="1:9" x14ac:dyDescent="0.35">
      <c r="A9" s="51"/>
      <c r="B9" s="51"/>
      <c r="C9" s="51"/>
      <c r="D9" s="52"/>
      <c r="E9" s="52"/>
      <c r="F9" s="52"/>
      <c r="H9" s="6"/>
      <c r="I9" s="6"/>
    </row>
    <row r="10" spans="1:9" x14ac:dyDescent="0.35">
      <c r="A10" s="51"/>
      <c r="B10" s="51"/>
      <c r="C10" s="51"/>
      <c r="D10" s="52"/>
      <c r="E10" s="52"/>
      <c r="F10" s="52"/>
      <c r="H10" s="6"/>
      <c r="I10" s="6"/>
    </row>
    <row r="11" spans="1:9" ht="18.75" customHeight="1" x14ac:dyDescent="0.35">
      <c r="A11" s="51"/>
      <c r="B11" s="51"/>
      <c r="C11" s="51"/>
      <c r="D11" s="52"/>
      <c r="E11" s="52"/>
      <c r="F11" s="52"/>
      <c r="H11" s="6"/>
      <c r="I11" s="6"/>
    </row>
    <row r="12" spans="1:9" x14ac:dyDescent="0.35">
      <c r="H12" s="4"/>
      <c r="I12" s="4"/>
    </row>
    <row r="14" spans="1:9" ht="18.75" customHeight="1" x14ac:dyDescent="0.35">
      <c r="A14" s="7" t="s">
        <v>8</v>
      </c>
      <c r="B14" s="65" t="s">
        <v>9</v>
      </c>
      <c r="C14" s="66"/>
      <c r="D14" s="66"/>
      <c r="E14" s="66"/>
      <c r="F14" s="67"/>
      <c r="G14" s="8" t="s">
        <v>10</v>
      </c>
      <c r="H14" s="8" t="s">
        <v>11</v>
      </c>
      <c r="I14" s="23" t="s">
        <v>12</v>
      </c>
    </row>
    <row r="15" spans="1:9" ht="96.75" customHeight="1" x14ac:dyDescent="0.35">
      <c r="A15" s="9">
        <v>1</v>
      </c>
      <c r="B15" s="68" t="s">
        <v>13</v>
      </c>
      <c r="C15" s="62"/>
      <c r="D15" s="62"/>
      <c r="E15" s="62"/>
      <c r="F15" s="63"/>
      <c r="G15" s="10" t="s">
        <v>14</v>
      </c>
      <c r="H15" s="11">
        <v>25.9</v>
      </c>
      <c r="I15" s="24">
        <f t="shared" ref="I15:I20" si="0">(H15)</f>
        <v>25.9</v>
      </c>
    </row>
    <row r="16" spans="1:9" ht="73.5" customHeight="1" x14ac:dyDescent="0.35">
      <c r="A16" s="9">
        <v>1</v>
      </c>
      <c r="B16" s="68" t="s">
        <v>15</v>
      </c>
      <c r="C16" s="62"/>
      <c r="D16" s="62"/>
      <c r="E16" s="62"/>
      <c r="F16" s="63"/>
      <c r="G16" s="31" t="s">
        <v>16</v>
      </c>
      <c r="H16" s="32" t="s">
        <v>17</v>
      </c>
      <c r="I16" s="11" t="str">
        <f t="shared" si="0"/>
        <v>RM
RM</v>
      </c>
    </row>
    <row r="17" spans="1:9" ht="81.75" customHeight="1" x14ac:dyDescent="0.35">
      <c r="A17" s="9">
        <v>1</v>
      </c>
      <c r="B17" s="68" t="s">
        <v>18</v>
      </c>
      <c r="C17" s="62"/>
      <c r="D17" s="62"/>
      <c r="E17" s="62"/>
      <c r="F17" s="63"/>
      <c r="G17" s="10" t="s">
        <v>19</v>
      </c>
      <c r="H17" s="11">
        <v>9.9</v>
      </c>
      <c r="I17" s="24">
        <f t="shared" si="0"/>
        <v>9.9</v>
      </c>
    </row>
    <row r="18" spans="1:9" ht="87.75" customHeight="1" x14ac:dyDescent="0.35">
      <c r="A18" s="9">
        <v>1</v>
      </c>
      <c r="B18" s="68" t="s">
        <v>20</v>
      </c>
      <c r="C18" s="62"/>
      <c r="D18" s="62"/>
      <c r="E18" s="62"/>
      <c r="F18" s="63"/>
      <c r="G18" s="10" t="s">
        <v>19</v>
      </c>
      <c r="H18" s="11">
        <v>9.9</v>
      </c>
      <c r="I18" s="24">
        <f t="shared" si="0"/>
        <v>9.9</v>
      </c>
    </row>
    <row r="19" spans="1:9" ht="182.15" customHeight="1" x14ac:dyDescent="0.35">
      <c r="A19" s="9">
        <v>1</v>
      </c>
      <c r="B19" s="68" t="s">
        <v>21</v>
      </c>
      <c r="C19" s="62"/>
      <c r="D19" s="62"/>
      <c r="E19" s="62"/>
      <c r="F19" s="63"/>
      <c r="G19" s="10" t="s">
        <v>19</v>
      </c>
      <c r="H19" s="11">
        <v>0.28999999999999998</v>
      </c>
      <c r="I19" s="24">
        <f t="shared" si="0"/>
        <v>0.28999999999999998</v>
      </c>
    </row>
    <row r="20" spans="1:9" ht="98.25" customHeight="1" x14ac:dyDescent="0.35">
      <c r="A20" s="9">
        <v>1</v>
      </c>
      <c r="B20" s="68" t="s">
        <v>22</v>
      </c>
      <c r="C20" s="62"/>
      <c r="D20" s="62"/>
      <c r="E20" s="62"/>
      <c r="F20" s="63"/>
      <c r="G20" s="10" t="s">
        <v>23</v>
      </c>
      <c r="H20" s="11">
        <v>29.9</v>
      </c>
      <c r="I20" s="24">
        <f t="shared" si="0"/>
        <v>29.9</v>
      </c>
    </row>
    <row r="21" spans="1:9" x14ac:dyDescent="0.35">
      <c r="A21" s="49" t="s">
        <v>24</v>
      </c>
      <c r="B21" s="49"/>
      <c r="C21" s="49"/>
      <c r="D21" s="49"/>
      <c r="E21" s="49"/>
      <c r="F21" s="49"/>
      <c r="G21" s="49"/>
      <c r="H21" s="50"/>
      <c r="I21" s="27">
        <f>SUM(I15:I20)</f>
        <v>75.889999999999986</v>
      </c>
    </row>
    <row r="22" spans="1:9" x14ac:dyDescent="0.35">
      <c r="A22" s="49" t="s">
        <v>25</v>
      </c>
      <c r="B22" s="49"/>
      <c r="C22" s="49"/>
      <c r="D22" s="49"/>
      <c r="E22" s="49"/>
      <c r="F22" s="49"/>
      <c r="G22" s="49"/>
      <c r="H22" s="50"/>
      <c r="I22" s="28">
        <v>0</v>
      </c>
    </row>
    <row r="23" spans="1:9" x14ac:dyDescent="0.35">
      <c r="A23" s="49" t="s">
        <v>26</v>
      </c>
      <c r="B23" s="49"/>
      <c r="C23" s="49"/>
      <c r="D23" s="49"/>
      <c r="E23" s="49"/>
      <c r="F23" s="49"/>
      <c r="G23" s="49"/>
      <c r="H23" s="50"/>
      <c r="I23" s="27">
        <v>16</v>
      </c>
    </row>
    <row r="24" spans="1:9" ht="17" x14ac:dyDescent="0.35">
      <c r="A24" s="49" t="s">
        <v>27</v>
      </c>
      <c r="B24" s="49"/>
      <c r="C24" s="49"/>
      <c r="D24" s="49"/>
      <c r="E24" s="49"/>
      <c r="F24" s="49"/>
      <c r="G24" s="49"/>
      <c r="H24" s="50"/>
      <c r="I24" s="29">
        <f>(I21+I23-I22)</f>
        <v>91.889999999999986</v>
      </c>
    </row>
    <row r="25" spans="1:9" x14ac:dyDescent="0.35">
      <c r="A25" s="19"/>
      <c r="B25" s="19"/>
      <c r="C25" s="19"/>
      <c r="D25" s="19"/>
      <c r="E25" s="19"/>
      <c r="F25" s="19"/>
      <c r="G25" s="19"/>
      <c r="H25" s="19"/>
      <c r="I25" s="30"/>
    </row>
    <row r="26" spans="1:9" x14ac:dyDescent="0.35">
      <c r="A26" s="19"/>
      <c r="B26" s="19"/>
      <c r="C26" s="19"/>
      <c r="D26" s="19"/>
      <c r="E26" s="19"/>
      <c r="F26" s="19"/>
      <c r="G26" s="19"/>
      <c r="H26" s="19"/>
      <c r="I26" s="30"/>
    </row>
    <row r="27" spans="1:9" x14ac:dyDescent="0.35">
      <c r="A27" s="20" t="s">
        <v>28</v>
      </c>
      <c r="B27" s="19"/>
      <c r="C27" s="19"/>
      <c r="D27" s="19"/>
      <c r="E27" s="19"/>
      <c r="F27" s="19"/>
      <c r="G27" s="19"/>
      <c r="H27" s="19"/>
      <c r="I27" s="30"/>
    </row>
    <row r="28" spans="1:9" x14ac:dyDescent="0.35">
      <c r="A28" s="21" t="s">
        <v>29</v>
      </c>
      <c r="B28" s="19"/>
      <c r="C28" s="19"/>
      <c r="D28" s="19"/>
      <c r="E28" s="19"/>
      <c r="F28" s="19"/>
      <c r="G28" s="19"/>
      <c r="H28" s="19"/>
      <c r="I28" s="30"/>
    </row>
    <row r="29" spans="1:9" x14ac:dyDescent="0.35">
      <c r="A29" s="21" t="s">
        <v>30</v>
      </c>
      <c r="B29" s="19"/>
      <c r="C29" s="19"/>
      <c r="D29" s="19"/>
      <c r="E29" s="19"/>
      <c r="F29" s="19"/>
      <c r="G29" s="19"/>
      <c r="H29" s="19"/>
      <c r="I29" s="30"/>
    </row>
    <row r="30" spans="1:9" x14ac:dyDescent="0.35">
      <c r="A30" s="21" t="s">
        <v>31</v>
      </c>
      <c r="B30" s="19"/>
      <c r="C30" s="19"/>
      <c r="D30" s="19"/>
      <c r="E30" s="19"/>
      <c r="F30" s="19"/>
      <c r="G30" s="19"/>
      <c r="H30" s="19"/>
      <c r="I30" s="30"/>
    </row>
    <row r="31" spans="1:9" x14ac:dyDescent="0.35">
      <c r="A31" s="21" t="s">
        <v>32</v>
      </c>
      <c r="B31" s="19"/>
      <c r="C31" s="19"/>
      <c r="D31" s="19"/>
      <c r="E31" s="19"/>
      <c r="F31" s="19"/>
      <c r="G31" s="19"/>
      <c r="H31" s="19"/>
      <c r="I31" s="30"/>
    </row>
    <row r="32" spans="1:9" x14ac:dyDescent="0.35">
      <c r="A32" s="21" t="s">
        <v>33</v>
      </c>
      <c r="B32" s="19"/>
      <c r="C32" s="19"/>
      <c r="D32" s="19"/>
      <c r="E32" s="19"/>
      <c r="F32" s="19"/>
      <c r="G32" s="19"/>
      <c r="H32" s="19"/>
      <c r="I32" s="30"/>
    </row>
    <row r="33" spans="1:9" x14ac:dyDescent="0.35">
      <c r="A33" s="1" t="s">
        <v>34</v>
      </c>
    </row>
    <row r="34" spans="1:9" x14ac:dyDescent="0.35">
      <c r="A34" s="1" t="s">
        <v>35</v>
      </c>
    </row>
    <row r="35" spans="1:9" x14ac:dyDescent="0.35">
      <c r="A35" s="1" t="s">
        <v>36</v>
      </c>
    </row>
    <row r="36" spans="1:9" x14ac:dyDescent="0.35">
      <c r="A36" s="1" t="s">
        <v>37</v>
      </c>
    </row>
    <row r="37" spans="1:9" x14ac:dyDescent="0.35">
      <c r="A37" s="54" t="s">
        <v>38</v>
      </c>
      <c r="B37" s="54"/>
      <c r="C37" s="54"/>
      <c r="D37" s="54"/>
      <c r="E37" s="54"/>
      <c r="F37" s="54"/>
      <c r="G37" s="54"/>
      <c r="H37" s="54"/>
      <c r="I37" s="54"/>
    </row>
    <row r="38" spans="1:9" x14ac:dyDescent="0.35">
      <c r="A38" s="54"/>
      <c r="B38" s="54"/>
      <c r="C38" s="54"/>
      <c r="D38" s="54"/>
      <c r="E38" s="54"/>
      <c r="F38" s="54"/>
      <c r="G38" s="54"/>
      <c r="H38" s="54"/>
      <c r="I38" s="54"/>
    </row>
    <row r="39" spans="1:9" x14ac:dyDescent="0.35">
      <c r="A39" s="54"/>
      <c r="B39" s="54"/>
      <c r="C39" s="54"/>
      <c r="D39" s="54"/>
      <c r="E39" s="54"/>
      <c r="F39" s="54"/>
      <c r="G39" s="54"/>
      <c r="H39" s="54"/>
      <c r="I39" s="54"/>
    </row>
    <row r="40" spans="1:9" x14ac:dyDescent="0.35">
      <c r="A40" s="54"/>
      <c r="B40" s="54"/>
      <c r="C40" s="54"/>
      <c r="D40" s="54"/>
      <c r="E40" s="54"/>
      <c r="F40" s="54"/>
      <c r="G40" s="54"/>
      <c r="H40" s="54"/>
      <c r="I40" s="54"/>
    </row>
    <row r="41" spans="1:9" x14ac:dyDescent="0.35">
      <c r="A41" s="54"/>
      <c r="B41" s="54"/>
      <c r="C41" s="54"/>
      <c r="D41" s="54"/>
      <c r="E41" s="54"/>
      <c r="F41" s="54"/>
      <c r="G41" s="54"/>
      <c r="H41" s="54"/>
      <c r="I41" s="54"/>
    </row>
    <row r="42" spans="1:9" x14ac:dyDescent="0.35">
      <c r="A42" s="54"/>
      <c r="B42" s="54"/>
      <c r="C42" s="54"/>
      <c r="D42" s="54"/>
      <c r="E42" s="54"/>
      <c r="F42" s="54"/>
      <c r="G42" s="54"/>
      <c r="H42" s="54"/>
      <c r="I42" s="54"/>
    </row>
    <row r="43" spans="1:9" x14ac:dyDescent="0.35">
      <c r="A43" s="54"/>
      <c r="B43" s="54"/>
      <c r="C43" s="54"/>
      <c r="D43" s="54"/>
      <c r="E43" s="54"/>
      <c r="F43" s="54"/>
      <c r="G43" s="54"/>
      <c r="H43" s="54"/>
      <c r="I43" s="54"/>
    </row>
    <row r="44" spans="1:9" x14ac:dyDescent="0.35">
      <c r="A44" s="54"/>
      <c r="B44" s="54"/>
      <c r="C44" s="54"/>
      <c r="D44" s="54"/>
      <c r="E44" s="54"/>
      <c r="F44" s="54"/>
      <c r="G44" s="54"/>
      <c r="H44" s="54"/>
      <c r="I44" s="54"/>
    </row>
    <row r="45" spans="1:9" x14ac:dyDescent="0.35">
      <c r="A45" s="54"/>
      <c r="B45" s="54"/>
      <c r="C45" s="54"/>
      <c r="D45" s="54"/>
      <c r="E45" s="54"/>
      <c r="F45" s="54"/>
      <c r="G45" s="54"/>
      <c r="H45" s="54"/>
      <c r="I45" s="54"/>
    </row>
    <row r="46" spans="1:9" x14ac:dyDescent="0.35">
      <c r="A46" s="54"/>
      <c r="B46" s="54"/>
      <c r="C46" s="54"/>
      <c r="D46" s="54"/>
      <c r="E46" s="54"/>
      <c r="F46" s="54"/>
      <c r="G46" s="54"/>
      <c r="H46" s="54"/>
      <c r="I46" s="54"/>
    </row>
    <row r="47" spans="1:9" x14ac:dyDescent="0.35">
      <c r="A47" s="54"/>
      <c r="B47" s="54"/>
      <c r="C47" s="54"/>
      <c r="D47" s="54"/>
      <c r="E47" s="54"/>
      <c r="F47" s="54"/>
      <c r="G47" s="54"/>
      <c r="H47" s="54"/>
      <c r="I47" s="54"/>
    </row>
    <row r="48" spans="1:9" x14ac:dyDescent="0.35">
      <c r="A48" s="54"/>
      <c r="B48" s="54"/>
      <c r="C48" s="54"/>
      <c r="D48" s="54"/>
      <c r="E48" s="54"/>
      <c r="F48" s="54"/>
      <c r="G48" s="54"/>
      <c r="H48" s="54"/>
      <c r="I48" s="54"/>
    </row>
    <row r="49" spans="1:9" x14ac:dyDescent="0.35">
      <c r="A49" s="54"/>
      <c r="B49" s="54"/>
      <c r="C49" s="54"/>
      <c r="D49" s="54"/>
      <c r="E49" s="54"/>
      <c r="F49" s="54"/>
      <c r="G49" s="54"/>
      <c r="H49" s="54"/>
      <c r="I49" s="54"/>
    </row>
    <row r="50" spans="1:9" x14ac:dyDescent="0.35">
      <c r="A50" s="54"/>
      <c r="B50" s="54"/>
      <c r="C50" s="54"/>
      <c r="D50" s="54"/>
      <c r="E50" s="54"/>
      <c r="F50" s="54"/>
      <c r="G50" s="54"/>
      <c r="H50" s="54"/>
      <c r="I50" s="54"/>
    </row>
    <row r="51" spans="1:9" x14ac:dyDescent="0.35">
      <c r="A51" s="54"/>
      <c r="B51" s="54"/>
      <c r="C51" s="54"/>
      <c r="D51" s="54"/>
      <c r="E51" s="54"/>
      <c r="F51" s="54"/>
      <c r="G51" s="54"/>
      <c r="H51" s="54"/>
      <c r="I51" s="54"/>
    </row>
  </sheetData>
  <mergeCells count="15">
    <mergeCell ref="H5:I5"/>
    <mergeCell ref="B14:F14"/>
    <mergeCell ref="B15:F15"/>
    <mergeCell ref="B16:F16"/>
    <mergeCell ref="B17:F17"/>
    <mergeCell ref="A23:H23"/>
    <mergeCell ref="A24:H24"/>
    <mergeCell ref="A37:I51"/>
    <mergeCell ref="A6:C11"/>
    <mergeCell ref="D6:F11"/>
    <mergeCell ref="B18:F18"/>
    <mergeCell ref="B19:F19"/>
    <mergeCell ref="B20:F20"/>
    <mergeCell ref="A21:H21"/>
    <mergeCell ref="A22:H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2"/>
  <sheetViews>
    <sheetView topLeftCell="A10" workbookViewId="0">
      <selection activeCell="I16" sqref="I16"/>
    </sheetView>
  </sheetViews>
  <sheetFormatPr defaultColWidth="9" defaultRowHeight="14.5" x14ac:dyDescent="0.35"/>
  <cols>
    <col min="1" max="1" width="5.7265625" style="1" customWidth="1"/>
    <col min="2" max="5" width="9.1796875" style="1"/>
    <col min="6" max="6" width="5.26953125" style="1" customWidth="1"/>
    <col min="7" max="7" width="10.1796875" style="1" customWidth="1"/>
    <col min="8" max="8" width="13" style="1" customWidth="1"/>
    <col min="9" max="9" width="13.1796875" style="1" customWidth="1"/>
  </cols>
  <sheetData>
    <row r="1" spans="1:9" x14ac:dyDescent="0.35">
      <c r="C1" s="2" t="s">
        <v>39</v>
      </c>
    </row>
    <row r="2" spans="1:9" x14ac:dyDescent="0.35">
      <c r="D2" s="3"/>
      <c r="E2" s="3"/>
      <c r="F2" s="3"/>
      <c r="G2" s="3"/>
      <c r="H2" s="3"/>
      <c r="I2" s="3"/>
    </row>
    <row r="3" spans="1:9" x14ac:dyDescent="0.35">
      <c r="D3" s="1" t="str">
        <f ca="1">$I$6&amp;" 0194640802 BAJU WANI"</f>
        <v>BJK2306109 0194640802 BAJU WANI</v>
      </c>
    </row>
    <row r="4" spans="1:9" x14ac:dyDescent="0.35">
      <c r="H4" s="4"/>
      <c r="I4" s="4"/>
    </row>
    <row r="5" spans="1:9" ht="28.5" x14ac:dyDescent="0.35">
      <c r="H5" s="64" t="s">
        <v>2</v>
      </c>
      <c r="I5" s="64"/>
    </row>
    <row r="6" spans="1:9" x14ac:dyDescent="0.35">
      <c r="A6" s="51" t="s">
        <v>40</v>
      </c>
      <c r="B6" s="51"/>
      <c r="C6" s="51"/>
      <c r="D6" s="52" t="s">
        <v>4</v>
      </c>
      <c r="E6" s="52"/>
      <c r="F6" s="52"/>
      <c r="H6" s="5" t="s">
        <v>5</v>
      </c>
      <c r="I6" s="6" t="str">
        <f ca="1">"BJK"&amp;TEXT(TODAY(),"ddmm")&amp;"109"</f>
        <v>BJK2306109</v>
      </c>
    </row>
    <row r="7" spans="1:9" x14ac:dyDescent="0.35">
      <c r="A7" s="51"/>
      <c r="B7" s="51"/>
      <c r="C7" s="51"/>
      <c r="D7" s="52"/>
      <c r="E7" s="52"/>
      <c r="F7" s="52"/>
      <c r="H7" s="5" t="s">
        <v>6</v>
      </c>
      <c r="I7" s="35">
        <f ca="1">TODAY()</f>
        <v>46196</v>
      </c>
    </row>
    <row r="8" spans="1:9" x14ac:dyDescent="0.35">
      <c r="A8" s="51"/>
      <c r="B8" s="51"/>
      <c r="C8" s="51"/>
      <c r="D8" s="52"/>
      <c r="E8" s="52"/>
      <c r="F8" s="52"/>
      <c r="H8" s="5" t="s">
        <v>7</v>
      </c>
      <c r="I8" s="35">
        <f ca="1">I7+10</f>
        <v>46206</v>
      </c>
    </row>
    <row r="9" spans="1:9" x14ac:dyDescent="0.35">
      <c r="A9" s="51"/>
      <c r="B9" s="51"/>
      <c r="C9" s="51"/>
      <c r="D9" s="52"/>
      <c r="E9" s="52"/>
      <c r="F9" s="52"/>
      <c r="H9" s="6"/>
      <c r="I9" s="6"/>
    </row>
    <row r="10" spans="1:9" x14ac:dyDescent="0.35">
      <c r="A10" s="51"/>
      <c r="B10" s="51"/>
      <c r="C10" s="51"/>
      <c r="D10" s="52"/>
      <c r="E10" s="52"/>
      <c r="F10" s="52"/>
      <c r="H10" s="6"/>
      <c r="I10" s="6"/>
    </row>
    <row r="11" spans="1:9" ht="18.75" customHeight="1" x14ac:dyDescent="0.35">
      <c r="A11" s="51"/>
      <c r="B11" s="51"/>
      <c r="C11" s="51"/>
      <c r="D11" s="52"/>
      <c r="E11" s="52"/>
      <c r="F11" s="52"/>
      <c r="H11" s="6"/>
      <c r="I11" s="6"/>
    </row>
    <row r="12" spans="1:9" x14ac:dyDescent="0.35">
      <c r="H12" s="4"/>
      <c r="I12" s="4"/>
    </row>
    <row r="14" spans="1:9" ht="18.75" customHeight="1" x14ac:dyDescent="0.35">
      <c r="A14" s="7" t="s">
        <v>8</v>
      </c>
      <c r="B14" s="65" t="s">
        <v>9</v>
      </c>
      <c r="C14" s="66"/>
      <c r="D14" s="66"/>
      <c r="E14" s="66"/>
      <c r="F14" s="67"/>
      <c r="G14" s="8" t="s">
        <v>10</v>
      </c>
      <c r="H14" s="8" t="s">
        <v>11</v>
      </c>
      <c r="I14" s="23" t="s">
        <v>12</v>
      </c>
    </row>
    <row r="15" spans="1:9" ht="97.5" customHeight="1" x14ac:dyDescent="0.35">
      <c r="A15" s="9">
        <v>1</v>
      </c>
      <c r="B15" s="68" t="s">
        <v>45</v>
      </c>
      <c r="C15" s="62"/>
      <c r="D15" s="62"/>
      <c r="E15" s="62"/>
      <c r="F15" s="63"/>
      <c r="G15" s="31" t="s">
        <v>44</v>
      </c>
      <c r="H15" s="36">
        <v>14.9</v>
      </c>
      <c r="I15" s="37">
        <f>IF(OR(G15="",H15=""),"",IFERROR(IF(ISNUMBER(G15),G15,VALUE(SUBSTITUTE(SUBSTITUTE(UPPER(G15),"PCS","")," ","")))*H15,""))</f>
        <v>14.9</v>
      </c>
    </row>
    <row r="16" spans="1:9" ht="76.5" customHeight="1" x14ac:dyDescent="0.35">
      <c r="A16" s="12"/>
      <c r="B16" s="68"/>
      <c r="C16" s="62"/>
      <c r="D16" s="62"/>
      <c r="E16" s="62"/>
      <c r="F16" s="63"/>
      <c r="G16" s="13"/>
      <c r="H16" s="38"/>
      <c r="I16" s="39" t="str">
        <f t="shared" ref="I16:I20" si="0">IF(OR(G16="",H16=""),"",IFERROR(IF(ISNUMBER(G16),G16,VALUE(SUBSTITUTE(SUBSTITUTE(UPPER(G16),"PCS","")," ","")))*H16,""))</f>
        <v/>
      </c>
    </row>
    <row r="17" spans="1:9" ht="72" customHeight="1" x14ac:dyDescent="0.35">
      <c r="A17" s="15"/>
      <c r="B17" s="68"/>
      <c r="C17" s="62"/>
      <c r="D17" s="62"/>
      <c r="E17" s="62"/>
      <c r="F17" s="63"/>
      <c r="G17" s="33"/>
      <c r="H17" s="40"/>
      <c r="I17" s="41" t="str">
        <f t="shared" si="0"/>
        <v/>
      </c>
    </row>
    <row r="18" spans="1:9" ht="14.15" customHeight="1" x14ac:dyDescent="0.35">
      <c r="A18" s="12"/>
      <c r="B18" s="71"/>
      <c r="C18" s="72"/>
      <c r="D18" s="72"/>
      <c r="E18" s="72"/>
      <c r="F18" s="72"/>
      <c r="G18" s="34"/>
      <c r="H18" s="42"/>
      <c r="I18" s="43" t="str">
        <f t="shared" si="0"/>
        <v/>
      </c>
    </row>
    <row r="19" spans="1:9" x14ac:dyDescent="0.35">
      <c r="A19" s="15"/>
      <c r="B19" s="71"/>
      <c r="C19" s="72"/>
      <c r="D19" s="72"/>
      <c r="E19" s="72"/>
      <c r="F19" s="72"/>
      <c r="G19" s="34"/>
      <c r="H19" s="44"/>
      <c r="I19" s="41" t="str">
        <f t="shared" si="0"/>
        <v/>
      </c>
    </row>
    <row r="20" spans="1:9" x14ac:dyDescent="0.35">
      <c r="A20" s="18"/>
      <c r="B20" s="73"/>
      <c r="C20" s="73"/>
      <c r="D20" s="73"/>
      <c r="E20" s="73"/>
      <c r="F20" s="73"/>
      <c r="G20" s="10"/>
      <c r="H20" s="37"/>
      <c r="I20" s="45" t="str">
        <f t="shared" si="0"/>
        <v/>
      </c>
    </row>
    <row r="21" spans="1:9" x14ac:dyDescent="0.35">
      <c r="A21" s="49" t="s">
        <v>24</v>
      </c>
      <c r="B21" s="49"/>
      <c r="C21" s="49"/>
      <c r="D21" s="49"/>
      <c r="E21" s="49"/>
      <c r="F21" s="49"/>
      <c r="G21" s="49"/>
      <c r="H21" s="69"/>
      <c r="I21" s="46">
        <f>SUM(I15:I20)</f>
        <v>14.9</v>
      </c>
    </row>
    <row r="22" spans="1:9" x14ac:dyDescent="0.35">
      <c r="A22" s="49" t="s">
        <v>25</v>
      </c>
      <c r="B22" s="49"/>
      <c r="C22" s="49"/>
      <c r="D22" s="49"/>
      <c r="E22" s="49"/>
      <c r="F22" s="49"/>
      <c r="G22" s="49"/>
      <c r="H22" s="69"/>
      <c r="I22" s="47">
        <v>0</v>
      </c>
    </row>
    <row r="23" spans="1:9" x14ac:dyDescent="0.35">
      <c r="A23" s="49" t="s">
        <v>26</v>
      </c>
      <c r="B23" s="49"/>
      <c r="C23" s="49"/>
      <c r="D23" s="49"/>
      <c r="E23" s="49"/>
      <c r="F23" s="49"/>
      <c r="G23" s="49"/>
      <c r="H23" s="69"/>
      <c r="I23" s="46">
        <v>8</v>
      </c>
    </row>
    <row r="24" spans="1:9" ht="17" x14ac:dyDescent="0.35">
      <c r="A24" s="49" t="s">
        <v>27</v>
      </c>
      <c r="B24" s="49"/>
      <c r="C24" s="49"/>
      <c r="D24" s="49"/>
      <c r="E24" s="49"/>
      <c r="F24" s="49"/>
      <c r="G24" s="49"/>
      <c r="H24" s="69"/>
      <c r="I24" s="48">
        <f>I21-I22+I23</f>
        <v>22.9</v>
      </c>
    </row>
    <row r="25" spans="1:9" x14ac:dyDescent="0.35">
      <c r="A25" s="19"/>
      <c r="B25" s="19"/>
      <c r="C25" s="19"/>
      <c r="D25" s="19"/>
      <c r="E25" s="19"/>
      <c r="F25" s="19"/>
      <c r="G25" s="19"/>
      <c r="H25" s="19"/>
      <c r="I25" s="30"/>
    </row>
    <row r="26" spans="1:9" x14ac:dyDescent="0.35">
      <c r="A26" s="19"/>
      <c r="B26" s="19"/>
      <c r="C26" s="19"/>
      <c r="D26" s="19"/>
      <c r="E26" s="19"/>
      <c r="F26" s="19"/>
      <c r="G26" s="19"/>
      <c r="H26" s="19"/>
      <c r="I26" s="30"/>
    </row>
    <row r="28" spans="1:9" ht="373" customHeight="1" x14ac:dyDescent="0.35">
      <c r="A28" s="70" t="s">
        <v>41</v>
      </c>
      <c r="B28" s="54"/>
      <c r="C28" s="54"/>
      <c r="D28" s="54"/>
      <c r="E28" s="54"/>
      <c r="F28" s="54"/>
      <c r="G28" s="54"/>
      <c r="H28" s="54"/>
      <c r="I28" s="54"/>
    </row>
    <row r="29" spans="1:9" x14ac:dyDescent="0.35">
      <c r="A29" s="54"/>
      <c r="B29" s="54"/>
      <c r="C29" s="54"/>
      <c r="D29" s="54"/>
      <c r="E29" s="54"/>
      <c r="F29" s="54"/>
      <c r="G29" s="54"/>
      <c r="H29" s="54"/>
      <c r="I29" s="54"/>
    </row>
    <row r="30" spans="1:9" x14ac:dyDescent="0.35">
      <c r="A30" s="54"/>
      <c r="B30" s="54"/>
      <c r="C30" s="54"/>
      <c r="D30" s="54"/>
      <c r="E30" s="54"/>
      <c r="F30" s="54"/>
      <c r="G30" s="54"/>
      <c r="H30" s="54"/>
      <c r="I30" s="54"/>
    </row>
    <row r="31" spans="1:9" x14ac:dyDescent="0.35">
      <c r="A31" s="54"/>
      <c r="B31" s="54"/>
      <c r="C31" s="54"/>
      <c r="D31" s="54"/>
      <c r="E31" s="54"/>
      <c r="F31" s="54"/>
      <c r="G31" s="54"/>
      <c r="H31" s="54"/>
      <c r="I31" s="54"/>
    </row>
    <row r="32" spans="1:9" x14ac:dyDescent="0.35">
      <c r="A32" s="54"/>
      <c r="B32" s="54"/>
      <c r="C32" s="54"/>
      <c r="D32" s="54"/>
      <c r="E32" s="54"/>
      <c r="F32" s="54"/>
      <c r="G32" s="54"/>
      <c r="H32" s="54"/>
      <c r="I32" s="54"/>
    </row>
    <row r="33" spans="1:9" x14ac:dyDescent="0.35">
      <c r="A33" s="54"/>
      <c r="B33" s="54"/>
      <c r="C33" s="54"/>
      <c r="D33" s="54"/>
      <c r="E33" s="54"/>
      <c r="F33" s="54"/>
      <c r="G33" s="54"/>
      <c r="H33" s="54"/>
      <c r="I33" s="54"/>
    </row>
    <row r="34" spans="1:9" x14ac:dyDescent="0.35">
      <c r="A34" s="54"/>
      <c r="B34" s="54"/>
      <c r="C34" s="54"/>
      <c r="D34" s="54"/>
      <c r="E34" s="54"/>
      <c r="F34" s="54"/>
      <c r="G34" s="54"/>
      <c r="H34" s="54"/>
      <c r="I34" s="54"/>
    </row>
    <row r="35" spans="1:9" x14ac:dyDescent="0.35">
      <c r="A35" s="54"/>
      <c r="B35" s="54"/>
      <c r="C35" s="54"/>
      <c r="D35" s="54"/>
      <c r="E35" s="54"/>
      <c r="F35" s="54"/>
      <c r="G35" s="54"/>
      <c r="H35" s="54"/>
      <c r="I35" s="54"/>
    </row>
    <row r="36" spans="1:9" x14ac:dyDescent="0.35">
      <c r="A36" s="54"/>
      <c r="B36" s="54"/>
      <c r="C36" s="54"/>
      <c r="D36" s="54"/>
      <c r="E36" s="54"/>
      <c r="F36" s="54"/>
      <c r="G36" s="54"/>
      <c r="H36" s="54"/>
      <c r="I36" s="54"/>
    </row>
    <row r="37" spans="1:9" x14ac:dyDescent="0.35">
      <c r="A37" s="54"/>
      <c r="B37" s="54"/>
      <c r="C37" s="54"/>
      <c r="D37" s="54"/>
      <c r="E37" s="54"/>
      <c r="F37" s="54"/>
      <c r="G37" s="54"/>
      <c r="H37" s="54"/>
      <c r="I37" s="54"/>
    </row>
    <row r="38" spans="1:9" x14ac:dyDescent="0.35">
      <c r="A38" s="54"/>
      <c r="B38" s="54"/>
      <c r="C38" s="54"/>
      <c r="D38" s="54"/>
      <c r="E38" s="54"/>
      <c r="F38" s="54"/>
      <c r="G38" s="54"/>
      <c r="H38" s="54"/>
      <c r="I38" s="54"/>
    </row>
    <row r="39" spans="1:9" x14ac:dyDescent="0.35">
      <c r="A39" s="54"/>
      <c r="B39" s="54"/>
      <c r="C39" s="54"/>
      <c r="D39" s="54"/>
      <c r="E39" s="54"/>
      <c r="F39" s="54"/>
      <c r="G39" s="54"/>
      <c r="H39" s="54"/>
      <c r="I39" s="54"/>
    </row>
    <row r="40" spans="1:9" x14ac:dyDescent="0.35">
      <c r="A40" s="54"/>
      <c r="B40" s="54"/>
      <c r="C40" s="54"/>
      <c r="D40" s="54"/>
      <c r="E40" s="54"/>
      <c r="F40" s="54"/>
      <c r="G40" s="54"/>
      <c r="H40" s="54"/>
      <c r="I40" s="54"/>
    </row>
    <row r="41" spans="1:9" x14ac:dyDescent="0.35">
      <c r="A41" s="54"/>
      <c r="B41" s="54"/>
      <c r="C41" s="54"/>
      <c r="D41" s="54"/>
      <c r="E41" s="54"/>
      <c r="F41" s="54"/>
      <c r="G41" s="54"/>
      <c r="H41" s="54"/>
      <c r="I41" s="54"/>
    </row>
    <row r="42" spans="1:9" x14ac:dyDescent="0.35">
      <c r="A42" s="54"/>
      <c r="B42" s="54"/>
      <c r="C42" s="54"/>
      <c r="D42" s="54"/>
      <c r="E42" s="54"/>
      <c r="F42" s="54"/>
      <c r="G42" s="54"/>
      <c r="H42" s="54"/>
      <c r="I42" s="54"/>
    </row>
  </sheetData>
  <mergeCells count="15">
    <mergeCell ref="H5:I5"/>
    <mergeCell ref="B14:F14"/>
    <mergeCell ref="B15:F15"/>
    <mergeCell ref="B16:F16"/>
    <mergeCell ref="B17:F17"/>
    <mergeCell ref="A23:H23"/>
    <mergeCell ref="A24:H24"/>
    <mergeCell ref="A6:C11"/>
    <mergeCell ref="D6:F11"/>
    <mergeCell ref="A28:I42"/>
    <mergeCell ref="B18:F18"/>
    <mergeCell ref="B19:F19"/>
    <mergeCell ref="B20:F20"/>
    <mergeCell ref="A21:H21"/>
    <mergeCell ref="A22:H22"/>
  </mergeCells>
  <pageMargins left="0.7" right="0.7" top="0.75" bottom="0.75" header="0.3" footer="0.3"/>
  <pageSetup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1"/>
  <sheetViews>
    <sheetView workbookViewId="0"/>
  </sheetViews>
  <sheetFormatPr defaultColWidth="9" defaultRowHeight="14.5" x14ac:dyDescent="0.35"/>
  <cols>
    <col min="1" max="1" width="5.7265625" style="1" customWidth="1"/>
    <col min="2" max="5" width="9.1796875" style="1"/>
    <col min="6" max="6" width="5.26953125" style="1" customWidth="1"/>
    <col min="7" max="7" width="10.1796875" style="1" customWidth="1"/>
    <col min="8" max="8" width="13" style="1" customWidth="1"/>
    <col min="9" max="9" width="12.453125" style="1" customWidth="1"/>
  </cols>
  <sheetData>
    <row r="1" spans="1:9" x14ac:dyDescent="0.35">
      <c r="C1" s="2" t="s">
        <v>0</v>
      </c>
    </row>
    <row r="2" spans="1:9" x14ac:dyDescent="0.35">
      <c r="D2" s="3"/>
      <c r="E2" s="3"/>
      <c r="F2" s="3"/>
      <c r="G2" s="3"/>
      <c r="H2" s="3"/>
      <c r="I2" s="3"/>
    </row>
    <row r="3" spans="1:9" x14ac:dyDescent="0.35">
      <c r="D3" s="1" t="s">
        <v>1</v>
      </c>
    </row>
    <row r="4" spans="1:9" x14ac:dyDescent="0.35">
      <c r="H4" s="4"/>
      <c r="I4" s="4"/>
    </row>
    <row r="5" spans="1:9" ht="28.5" x14ac:dyDescent="0.35">
      <c r="H5" s="64" t="s">
        <v>2</v>
      </c>
      <c r="I5" s="64"/>
    </row>
    <row r="6" spans="1:9" x14ac:dyDescent="0.35">
      <c r="A6" s="51" t="s">
        <v>3</v>
      </c>
      <c r="B6" s="51"/>
      <c r="C6" s="51"/>
      <c r="D6" s="52" t="s">
        <v>4</v>
      </c>
      <c r="E6" s="52"/>
      <c r="F6" s="52"/>
      <c r="H6" s="5" t="s">
        <v>5</v>
      </c>
      <c r="I6" s="6">
        <v>100</v>
      </c>
    </row>
    <row r="7" spans="1:9" x14ac:dyDescent="0.35">
      <c r="A7" s="51"/>
      <c r="B7" s="51"/>
      <c r="C7" s="51"/>
      <c r="D7" s="52"/>
      <c r="E7" s="52"/>
      <c r="F7" s="52"/>
      <c r="H7" s="5" t="s">
        <v>6</v>
      </c>
      <c r="I7" s="22">
        <v>45264</v>
      </c>
    </row>
    <row r="8" spans="1:9" x14ac:dyDescent="0.35">
      <c r="A8" s="51"/>
      <c r="B8" s="51"/>
      <c r="C8" s="51"/>
      <c r="D8" s="52"/>
      <c r="E8" s="52"/>
      <c r="F8" s="52"/>
      <c r="H8" s="5" t="s">
        <v>7</v>
      </c>
      <c r="I8" s="22">
        <f>(I7+10)</f>
        <v>45274</v>
      </c>
    </row>
    <row r="9" spans="1:9" x14ac:dyDescent="0.35">
      <c r="A9" s="51"/>
      <c r="B9" s="51"/>
      <c r="C9" s="51"/>
      <c r="D9" s="52"/>
      <c r="E9" s="52"/>
      <c r="F9" s="52"/>
      <c r="H9" s="6"/>
      <c r="I9" s="6"/>
    </row>
    <row r="10" spans="1:9" x14ac:dyDescent="0.35">
      <c r="A10" s="51"/>
      <c r="B10" s="51"/>
      <c r="C10" s="51"/>
      <c r="D10" s="52"/>
      <c r="E10" s="52"/>
      <c r="F10" s="52"/>
      <c r="H10" s="6"/>
      <c r="I10" s="6"/>
    </row>
    <row r="11" spans="1:9" ht="18.75" customHeight="1" x14ac:dyDescent="0.35">
      <c r="A11" s="51"/>
      <c r="B11" s="51"/>
      <c r="C11" s="51"/>
      <c r="D11" s="52"/>
      <c r="E11" s="52"/>
      <c r="F11" s="52"/>
      <c r="H11" s="6"/>
      <c r="I11" s="6"/>
    </row>
    <row r="12" spans="1:9" x14ac:dyDescent="0.35">
      <c r="H12" s="4"/>
      <c r="I12" s="4"/>
    </row>
    <row r="14" spans="1:9" ht="18.75" customHeight="1" x14ac:dyDescent="0.35">
      <c r="A14" s="7" t="s">
        <v>8</v>
      </c>
      <c r="B14" s="65" t="s">
        <v>9</v>
      </c>
      <c r="C14" s="66"/>
      <c r="D14" s="66"/>
      <c r="E14" s="66"/>
      <c r="F14" s="67"/>
      <c r="G14" s="8" t="s">
        <v>10</v>
      </c>
      <c r="H14" s="8" t="s">
        <v>11</v>
      </c>
      <c r="I14" s="23" t="s">
        <v>12</v>
      </c>
    </row>
    <row r="15" spans="1:9" ht="89.25" customHeight="1" x14ac:dyDescent="0.35">
      <c r="A15" s="9">
        <v>1</v>
      </c>
      <c r="B15" s="68" t="s">
        <v>42</v>
      </c>
      <c r="C15" s="62"/>
      <c r="D15" s="62"/>
      <c r="E15" s="62"/>
      <c r="F15" s="63"/>
      <c r="G15" s="10" t="s">
        <v>19</v>
      </c>
      <c r="H15" s="11">
        <v>59</v>
      </c>
      <c r="I15" s="24">
        <f>(H15)</f>
        <v>59</v>
      </c>
    </row>
    <row r="16" spans="1:9" x14ac:dyDescent="0.35">
      <c r="A16" s="12"/>
      <c r="B16" s="55"/>
      <c r="C16" s="56"/>
      <c r="D16" s="56"/>
      <c r="E16" s="56"/>
      <c r="F16" s="57"/>
      <c r="G16" s="13"/>
      <c r="H16" s="14"/>
      <c r="I16" s="25"/>
    </row>
    <row r="17" spans="1:9" x14ac:dyDescent="0.35">
      <c r="A17" s="15"/>
      <c r="B17" s="58"/>
      <c r="C17" s="59"/>
      <c r="D17" s="59"/>
      <c r="E17" s="59"/>
      <c r="F17" s="60"/>
      <c r="G17" s="16"/>
      <c r="H17" s="17"/>
      <c r="I17" s="26"/>
    </row>
    <row r="18" spans="1:9" x14ac:dyDescent="0.35">
      <c r="A18" s="12"/>
      <c r="B18" s="55"/>
      <c r="C18" s="56"/>
      <c r="D18" s="56"/>
      <c r="E18" s="56"/>
      <c r="F18" s="57"/>
      <c r="G18" s="13"/>
      <c r="H18" s="14"/>
      <c r="I18" s="25"/>
    </row>
    <row r="19" spans="1:9" x14ac:dyDescent="0.35">
      <c r="A19" s="15"/>
      <c r="B19" s="58"/>
      <c r="C19" s="59"/>
      <c r="D19" s="59"/>
      <c r="E19" s="59"/>
      <c r="F19" s="60"/>
      <c r="G19" s="16"/>
      <c r="H19" s="17"/>
      <c r="I19" s="26"/>
    </row>
    <row r="20" spans="1:9" x14ac:dyDescent="0.35">
      <c r="A20" s="18"/>
      <c r="B20" s="61"/>
      <c r="C20" s="62"/>
      <c r="D20" s="62"/>
      <c r="E20" s="62"/>
      <c r="F20" s="63"/>
      <c r="G20" s="10"/>
      <c r="H20" s="11"/>
      <c r="I20" s="24"/>
    </row>
    <row r="21" spans="1:9" x14ac:dyDescent="0.35">
      <c r="A21" s="49" t="s">
        <v>24</v>
      </c>
      <c r="B21" s="49"/>
      <c r="C21" s="49"/>
      <c r="D21" s="49"/>
      <c r="E21" s="49"/>
      <c r="F21" s="49"/>
      <c r="G21" s="49"/>
      <c r="H21" s="50"/>
      <c r="I21" s="27">
        <f>SUM(I15:I20)</f>
        <v>59</v>
      </c>
    </row>
    <row r="22" spans="1:9" x14ac:dyDescent="0.35">
      <c r="A22" s="49" t="s">
        <v>25</v>
      </c>
      <c r="B22" s="49"/>
      <c r="C22" s="49"/>
      <c r="D22" s="49"/>
      <c r="E22" s="49"/>
      <c r="F22" s="49"/>
      <c r="G22" s="49"/>
      <c r="H22" s="50"/>
      <c r="I22" s="28">
        <v>0</v>
      </c>
    </row>
    <row r="23" spans="1:9" x14ac:dyDescent="0.35">
      <c r="A23" s="49" t="s">
        <v>26</v>
      </c>
      <c r="B23" s="49"/>
      <c r="C23" s="49"/>
      <c r="D23" s="49"/>
      <c r="E23" s="49"/>
      <c r="F23" s="49"/>
      <c r="G23" s="49"/>
      <c r="H23" s="50"/>
      <c r="I23" s="27">
        <v>11</v>
      </c>
    </row>
    <row r="24" spans="1:9" ht="17" x14ac:dyDescent="0.35">
      <c r="A24" s="49" t="s">
        <v>27</v>
      </c>
      <c r="B24" s="49"/>
      <c r="C24" s="49"/>
      <c r="D24" s="49"/>
      <c r="E24" s="49"/>
      <c r="F24" s="49"/>
      <c r="G24" s="49"/>
      <c r="H24" s="50"/>
      <c r="I24" s="29">
        <f>(I21+I23-I22)</f>
        <v>70</v>
      </c>
    </row>
    <row r="25" spans="1:9" x14ac:dyDescent="0.35">
      <c r="A25" s="19"/>
      <c r="B25" s="19"/>
      <c r="C25" s="19"/>
      <c r="D25" s="19"/>
      <c r="E25" s="19"/>
      <c r="F25" s="19"/>
      <c r="G25" s="19"/>
      <c r="H25" s="19"/>
      <c r="I25" s="30"/>
    </row>
    <row r="26" spans="1:9" x14ac:dyDescent="0.35">
      <c r="A26" s="19"/>
      <c r="B26" s="19"/>
      <c r="C26" s="19"/>
      <c r="D26" s="19"/>
      <c r="E26" s="19"/>
      <c r="F26" s="19"/>
      <c r="G26" s="19"/>
      <c r="H26" s="19"/>
      <c r="I26" s="30"/>
    </row>
    <row r="27" spans="1:9" x14ac:dyDescent="0.35">
      <c r="A27" s="20" t="s">
        <v>28</v>
      </c>
      <c r="B27" s="19"/>
      <c r="C27" s="19"/>
      <c r="D27" s="19"/>
      <c r="E27" s="19"/>
      <c r="F27" s="19"/>
      <c r="G27" s="19"/>
      <c r="H27" s="19"/>
      <c r="I27" s="30"/>
    </row>
    <row r="28" spans="1:9" x14ac:dyDescent="0.35">
      <c r="A28" s="21" t="s">
        <v>29</v>
      </c>
      <c r="B28" s="19"/>
      <c r="C28" s="19"/>
      <c r="D28" s="19"/>
      <c r="E28" s="19"/>
      <c r="F28" s="19"/>
      <c r="G28" s="19"/>
      <c r="H28" s="19"/>
      <c r="I28" s="30"/>
    </row>
    <row r="29" spans="1:9" x14ac:dyDescent="0.35">
      <c r="A29" s="21" t="s">
        <v>30</v>
      </c>
      <c r="B29" s="19"/>
      <c r="C29" s="19"/>
      <c r="D29" s="19"/>
      <c r="E29" s="19"/>
      <c r="F29" s="19"/>
      <c r="G29" s="19"/>
      <c r="H29" s="19"/>
      <c r="I29" s="30"/>
    </row>
    <row r="30" spans="1:9" x14ac:dyDescent="0.35">
      <c r="A30" s="21" t="s">
        <v>31</v>
      </c>
      <c r="B30" s="19"/>
      <c r="C30" s="19"/>
      <c r="D30" s="19"/>
      <c r="E30" s="19"/>
      <c r="F30" s="19"/>
      <c r="G30" s="19"/>
      <c r="H30" s="19"/>
      <c r="I30" s="30"/>
    </row>
    <row r="31" spans="1:9" x14ac:dyDescent="0.35">
      <c r="A31" s="21" t="s">
        <v>32</v>
      </c>
      <c r="B31" s="19"/>
      <c r="C31" s="19"/>
      <c r="D31" s="19"/>
      <c r="E31" s="19"/>
      <c r="F31" s="19"/>
      <c r="G31" s="19"/>
      <c r="H31" s="19"/>
      <c r="I31" s="30"/>
    </row>
    <row r="32" spans="1:9" x14ac:dyDescent="0.35">
      <c r="A32" s="21" t="s">
        <v>33</v>
      </c>
      <c r="B32" s="19"/>
      <c r="C32" s="19"/>
      <c r="D32" s="19"/>
      <c r="E32" s="19"/>
      <c r="F32" s="19"/>
      <c r="G32" s="19"/>
      <c r="H32" s="19"/>
      <c r="I32" s="30"/>
    </row>
    <row r="33" spans="1:9" x14ac:dyDescent="0.35">
      <c r="A33" s="1" t="s">
        <v>34</v>
      </c>
    </row>
    <row r="34" spans="1:9" x14ac:dyDescent="0.35">
      <c r="A34" s="1" t="s">
        <v>35</v>
      </c>
    </row>
    <row r="35" spans="1:9" x14ac:dyDescent="0.35">
      <c r="A35" s="1" t="s">
        <v>36</v>
      </c>
    </row>
    <row r="36" spans="1:9" x14ac:dyDescent="0.35">
      <c r="A36" s="1" t="s">
        <v>37</v>
      </c>
    </row>
    <row r="37" spans="1:9" x14ac:dyDescent="0.35">
      <c r="A37" s="54" t="s">
        <v>43</v>
      </c>
      <c r="B37" s="54"/>
      <c r="C37" s="54"/>
      <c r="D37" s="54"/>
      <c r="E37" s="54"/>
      <c r="F37" s="54"/>
      <c r="G37" s="54"/>
      <c r="H37" s="54"/>
      <c r="I37" s="54"/>
    </row>
    <row r="38" spans="1:9" x14ac:dyDescent="0.35">
      <c r="A38" s="54"/>
      <c r="B38" s="54"/>
      <c r="C38" s="54"/>
      <c r="D38" s="54"/>
      <c r="E38" s="54"/>
      <c r="F38" s="54"/>
      <c r="G38" s="54"/>
      <c r="H38" s="54"/>
      <c r="I38" s="54"/>
    </row>
    <row r="39" spans="1:9" x14ac:dyDescent="0.35">
      <c r="A39" s="54"/>
      <c r="B39" s="54"/>
      <c r="C39" s="54"/>
      <c r="D39" s="54"/>
      <c r="E39" s="54"/>
      <c r="F39" s="54"/>
      <c r="G39" s="54"/>
      <c r="H39" s="54"/>
      <c r="I39" s="54"/>
    </row>
    <row r="40" spans="1:9" x14ac:dyDescent="0.35">
      <c r="A40" s="54"/>
      <c r="B40" s="54"/>
      <c r="C40" s="54"/>
      <c r="D40" s="54"/>
      <c r="E40" s="54"/>
      <c r="F40" s="54"/>
      <c r="G40" s="54"/>
      <c r="H40" s="54"/>
      <c r="I40" s="54"/>
    </row>
    <row r="41" spans="1:9" x14ac:dyDescent="0.35">
      <c r="A41" s="54"/>
      <c r="B41" s="54"/>
      <c r="C41" s="54"/>
      <c r="D41" s="54"/>
      <c r="E41" s="54"/>
      <c r="F41" s="54"/>
      <c r="G41" s="54"/>
      <c r="H41" s="54"/>
      <c r="I41" s="54"/>
    </row>
    <row r="42" spans="1:9" x14ac:dyDescent="0.35">
      <c r="A42" s="54"/>
      <c r="B42" s="54"/>
      <c r="C42" s="54"/>
      <c r="D42" s="54"/>
      <c r="E42" s="54"/>
      <c r="F42" s="54"/>
      <c r="G42" s="54"/>
      <c r="H42" s="54"/>
      <c r="I42" s="54"/>
    </row>
    <row r="43" spans="1:9" x14ac:dyDescent="0.35">
      <c r="A43" s="54"/>
      <c r="B43" s="54"/>
      <c r="C43" s="54"/>
      <c r="D43" s="54"/>
      <c r="E43" s="54"/>
      <c r="F43" s="54"/>
      <c r="G43" s="54"/>
      <c r="H43" s="54"/>
      <c r="I43" s="54"/>
    </row>
    <row r="44" spans="1:9" x14ac:dyDescent="0.35">
      <c r="A44" s="54"/>
      <c r="B44" s="54"/>
      <c r="C44" s="54"/>
      <c r="D44" s="54"/>
      <c r="E44" s="54"/>
      <c r="F44" s="54"/>
      <c r="G44" s="54"/>
      <c r="H44" s="54"/>
      <c r="I44" s="54"/>
    </row>
    <row r="45" spans="1:9" x14ac:dyDescent="0.35">
      <c r="A45" s="54"/>
      <c r="B45" s="54"/>
      <c r="C45" s="54"/>
      <c r="D45" s="54"/>
      <c r="E45" s="54"/>
      <c r="F45" s="54"/>
      <c r="G45" s="54"/>
      <c r="H45" s="54"/>
      <c r="I45" s="54"/>
    </row>
    <row r="46" spans="1:9" x14ac:dyDescent="0.35">
      <c r="A46" s="54"/>
      <c r="B46" s="54"/>
      <c r="C46" s="54"/>
      <c r="D46" s="54"/>
      <c r="E46" s="54"/>
      <c r="F46" s="54"/>
      <c r="G46" s="54"/>
      <c r="H46" s="54"/>
      <c r="I46" s="54"/>
    </row>
    <row r="47" spans="1:9" x14ac:dyDescent="0.35">
      <c r="A47" s="54"/>
      <c r="B47" s="54"/>
      <c r="C47" s="54"/>
      <c r="D47" s="54"/>
      <c r="E47" s="54"/>
      <c r="F47" s="54"/>
      <c r="G47" s="54"/>
      <c r="H47" s="54"/>
      <c r="I47" s="54"/>
    </row>
    <row r="48" spans="1:9" x14ac:dyDescent="0.35">
      <c r="A48" s="54"/>
      <c r="B48" s="54"/>
      <c r="C48" s="54"/>
      <c r="D48" s="54"/>
      <c r="E48" s="54"/>
      <c r="F48" s="54"/>
      <c r="G48" s="54"/>
      <c r="H48" s="54"/>
      <c r="I48" s="54"/>
    </row>
    <row r="49" spans="1:9" x14ac:dyDescent="0.35">
      <c r="A49" s="54"/>
      <c r="B49" s="54"/>
      <c r="C49" s="54"/>
      <c r="D49" s="54"/>
      <c r="E49" s="54"/>
      <c r="F49" s="54"/>
      <c r="G49" s="54"/>
      <c r="H49" s="54"/>
      <c r="I49" s="54"/>
    </row>
    <row r="50" spans="1:9" x14ac:dyDescent="0.35">
      <c r="A50" s="54"/>
      <c r="B50" s="54"/>
      <c r="C50" s="54"/>
      <c r="D50" s="54"/>
      <c r="E50" s="54"/>
      <c r="F50" s="54"/>
      <c r="G50" s="54"/>
      <c r="H50" s="54"/>
      <c r="I50" s="54"/>
    </row>
    <row r="51" spans="1:9" x14ac:dyDescent="0.35">
      <c r="A51" s="54"/>
      <c r="B51" s="54"/>
      <c r="C51" s="54"/>
      <c r="D51" s="54"/>
      <c r="E51" s="54"/>
      <c r="F51" s="54"/>
      <c r="G51" s="54"/>
      <c r="H51" s="54"/>
      <c r="I51" s="54"/>
    </row>
  </sheetData>
  <mergeCells count="15">
    <mergeCell ref="H5:I5"/>
    <mergeCell ref="B14:F14"/>
    <mergeCell ref="B15:F15"/>
    <mergeCell ref="B16:F16"/>
    <mergeCell ref="B17:F17"/>
    <mergeCell ref="A23:H23"/>
    <mergeCell ref="A24:H24"/>
    <mergeCell ref="A37:I51"/>
    <mergeCell ref="A6:C11"/>
    <mergeCell ref="D6:F11"/>
    <mergeCell ref="B18:F18"/>
    <mergeCell ref="B19:F19"/>
    <mergeCell ref="B20:F20"/>
    <mergeCell ref="A21:H21"/>
    <mergeCell ref="A22:H2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2"/>
  <sheetViews>
    <sheetView tabSelected="1" topLeftCell="A11" workbookViewId="0">
      <selection activeCell="B16" sqref="B16:F16"/>
    </sheetView>
  </sheetViews>
  <sheetFormatPr defaultColWidth="9" defaultRowHeight="14.5" x14ac:dyDescent="0.35"/>
  <cols>
    <col min="1" max="1" width="5.7265625" style="1" customWidth="1"/>
    <col min="2" max="5" width="9.1796875" style="1"/>
    <col min="6" max="6" width="5.26953125" style="1" customWidth="1"/>
    <col min="7" max="7" width="10.1796875" style="1" customWidth="1"/>
    <col min="8" max="8" width="13" style="1" customWidth="1"/>
    <col min="9" max="9" width="16.54296875" style="1" bestFit="1" customWidth="1"/>
  </cols>
  <sheetData>
    <row r="1" spans="1:9" x14ac:dyDescent="0.35">
      <c r="C1" s="2" t="s">
        <v>0</v>
      </c>
    </row>
    <row r="2" spans="1:9" x14ac:dyDescent="0.35">
      <c r="D2" s="3"/>
      <c r="E2" s="3"/>
      <c r="F2" s="3"/>
      <c r="G2" s="3"/>
      <c r="H2" s="3"/>
      <c r="I2" s="3"/>
    </row>
    <row r="3" spans="1:9" x14ac:dyDescent="0.35">
      <c r="D3" s="1" t="str">
        <f ca="1">$I$6&amp;" 01111932860 - STICKER - NADIAH"</f>
        <v>STK2306101 01111932860 - STICKER - NADIAH</v>
      </c>
    </row>
    <row r="4" spans="1:9" x14ac:dyDescent="0.35">
      <c r="H4" s="4"/>
      <c r="I4" s="4"/>
    </row>
    <row r="5" spans="1:9" ht="28.5" x14ac:dyDescent="0.35">
      <c r="H5" s="64" t="s">
        <v>2</v>
      </c>
      <c r="I5" s="64"/>
    </row>
    <row r="6" spans="1:9" x14ac:dyDescent="0.35">
      <c r="A6" s="51" t="s">
        <v>3</v>
      </c>
      <c r="B6" s="51"/>
      <c r="C6" s="51"/>
      <c r="D6" s="52" t="s">
        <v>4</v>
      </c>
      <c r="E6" s="52"/>
      <c r="F6" s="52"/>
      <c r="H6" s="5" t="s">
        <v>5</v>
      </c>
      <c r="I6" s="6" t="str">
        <f ca="1">"STK"&amp;TEXT(TODAY(),"ddmm")&amp;"101"</f>
        <v>STK2306101</v>
      </c>
    </row>
    <row r="7" spans="1:9" x14ac:dyDescent="0.35">
      <c r="A7" s="51"/>
      <c r="B7" s="51"/>
      <c r="C7" s="51"/>
      <c r="D7" s="52"/>
      <c r="E7" s="52"/>
      <c r="F7" s="52"/>
      <c r="H7" s="5" t="s">
        <v>6</v>
      </c>
      <c r="I7" s="22">
        <f ca="1">TODAY()</f>
        <v>46196</v>
      </c>
    </row>
    <row r="8" spans="1:9" x14ac:dyDescent="0.35">
      <c r="A8" s="51"/>
      <c r="B8" s="51"/>
      <c r="C8" s="51"/>
      <c r="D8" s="52"/>
      <c r="E8" s="52"/>
      <c r="F8" s="52"/>
      <c r="H8" s="5" t="s">
        <v>7</v>
      </c>
      <c r="I8" s="22">
        <f ca="1">(I7+10)</f>
        <v>46206</v>
      </c>
    </row>
    <row r="9" spans="1:9" x14ac:dyDescent="0.35">
      <c r="A9" s="51"/>
      <c r="B9" s="51"/>
      <c r="C9" s="51"/>
      <c r="D9" s="52"/>
      <c r="E9" s="52"/>
      <c r="F9" s="52"/>
      <c r="H9" s="6"/>
      <c r="I9" s="6"/>
    </row>
    <row r="10" spans="1:9" x14ac:dyDescent="0.35">
      <c r="A10" s="51"/>
      <c r="B10" s="51"/>
      <c r="C10" s="51"/>
      <c r="D10" s="52"/>
      <c r="E10" s="52"/>
      <c r="F10" s="52"/>
      <c r="H10" s="6"/>
      <c r="I10" s="6"/>
    </row>
    <row r="11" spans="1:9" ht="18.75" customHeight="1" x14ac:dyDescent="0.35">
      <c r="A11" s="51"/>
      <c r="B11" s="51"/>
      <c r="C11" s="51"/>
      <c r="D11" s="52"/>
      <c r="E11" s="52"/>
      <c r="F11" s="52"/>
      <c r="H11" s="6"/>
      <c r="I11" s="6"/>
    </row>
    <row r="12" spans="1:9" x14ac:dyDescent="0.35">
      <c r="H12" s="4"/>
      <c r="I12" s="4"/>
    </row>
    <row r="14" spans="1:9" ht="18.75" customHeight="1" x14ac:dyDescent="0.35">
      <c r="A14" s="7" t="s">
        <v>8</v>
      </c>
      <c r="B14" s="65" t="s">
        <v>9</v>
      </c>
      <c r="C14" s="66"/>
      <c r="D14" s="66"/>
      <c r="E14" s="66"/>
      <c r="F14" s="67"/>
      <c r="G14" s="8" t="s">
        <v>10</v>
      </c>
      <c r="H14" s="8" t="s">
        <v>11</v>
      </c>
      <c r="I14" s="23" t="s">
        <v>12</v>
      </c>
    </row>
    <row r="15" spans="1:9" ht="62.25" customHeight="1" x14ac:dyDescent="0.35">
      <c r="A15" s="9">
        <v>1</v>
      </c>
      <c r="B15" s="68" t="s">
        <v>47</v>
      </c>
      <c r="C15" s="62"/>
      <c r="D15" s="62"/>
      <c r="E15" s="62"/>
      <c r="F15" s="63"/>
      <c r="G15" s="10" t="s">
        <v>48</v>
      </c>
      <c r="H15" s="11">
        <v>149</v>
      </c>
      <c r="I15" s="24">
        <v>149</v>
      </c>
    </row>
    <row r="16" spans="1:9" ht="15" customHeight="1" x14ac:dyDescent="0.35">
      <c r="A16" s="12"/>
      <c r="B16" s="58"/>
      <c r="C16" s="59"/>
      <c r="D16" s="59"/>
      <c r="E16" s="59"/>
      <c r="F16" s="60"/>
      <c r="G16" s="13"/>
      <c r="H16" s="14"/>
      <c r="I16" s="25"/>
    </row>
    <row r="17" spans="1:9" ht="48" customHeight="1" x14ac:dyDescent="0.35">
      <c r="A17" s="15"/>
      <c r="B17" s="58"/>
      <c r="C17" s="59"/>
      <c r="D17" s="59"/>
      <c r="E17" s="59"/>
      <c r="F17" s="60"/>
      <c r="G17" s="16"/>
      <c r="H17" s="17"/>
      <c r="I17" s="26"/>
    </row>
    <row r="18" spans="1:9" x14ac:dyDescent="0.35">
      <c r="A18" s="12"/>
      <c r="B18" s="55"/>
      <c r="C18" s="56"/>
      <c r="D18" s="56"/>
      <c r="E18" s="56"/>
      <c r="F18" s="57"/>
      <c r="G18" s="13"/>
      <c r="H18" s="14"/>
      <c r="I18" s="25"/>
    </row>
    <row r="19" spans="1:9" x14ac:dyDescent="0.35">
      <c r="A19" s="15"/>
      <c r="B19" s="58"/>
      <c r="C19" s="59"/>
      <c r="D19" s="59"/>
      <c r="E19" s="59"/>
      <c r="F19" s="60"/>
      <c r="G19" s="16"/>
      <c r="H19" s="17"/>
      <c r="I19" s="26"/>
    </row>
    <row r="20" spans="1:9" x14ac:dyDescent="0.35">
      <c r="A20" s="18"/>
      <c r="B20" s="61"/>
      <c r="C20" s="62"/>
      <c r="D20" s="62"/>
      <c r="E20" s="62"/>
      <c r="F20" s="63"/>
      <c r="G20" s="10"/>
      <c r="H20" s="11"/>
      <c r="I20" s="24"/>
    </row>
    <row r="21" spans="1:9" x14ac:dyDescent="0.35">
      <c r="A21" s="49" t="s">
        <v>24</v>
      </c>
      <c r="B21" s="49"/>
      <c r="C21" s="49"/>
      <c r="D21" s="49"/>
      <c r="E21" s="49"/>
      <c r="F21" s="49"/>
      <c r="G21" s="49"/>
      <c r="H21" s="50"/>
      <c r="I21" s="27">
        <f>SUM(I15:I20)</f>
        <v>149</v>
      </c>
    </row>
    <row r="22" spans="1:9" x14ac:dyDescent="0.35">
      <c r="A22" s="49" t="s">
        <v>25</v>
      </c>
      <c r="B22" s="49"/>
      <c r="C22" s="49"/>
      <c r="D22" s="49"/>
      <c r="E22" s="49"/>
      <c r="F22" s="49"/>
      <c r="G22" s="49"/>
      <c r="H22" s="50"/>
      <c r="I22" s="28"/>
    </row>
    <row r="23" spans="1:9" x14ac:dyDescent="0.35">
      <c r="A23" s="49" t="s">
        <v>26</v>
      </c>
      <c r="B23" s="49"/>
      <c r="C23" s="49"/>
      <c r="D23" s="49"/>
      <c r="E23" s="49"/>
      <c r="F23" s="49"/>
      <c r="G23" s="49"/>
      <c r="H23" s="50"/>
      <c r="I23" s="27">
        <v>15</v>
      </c>
    </row>
    <row r="24" spans="1:9" ht="17" x14ac:dyDescent="0.35">
      <c r="A24" s="49" t="s">
        <v>27</v>
      </c>
      <c r="B24" s="49"/>
      <c r="C24" s="49"/>
      <c r="D24" s="49"/>
      <c r="E24" s="49"/>
      <c r="F24" s="49"/>
      <c r="G24" s="49"/>
      <c r="H24" s="50"/>
      <c r="I24" s="29">
        <f>(I21+I23-I22)</f>
        <v>164</v>
      </c>
    </row>
    <row r="25" spans="1:9" x14ac:dyDescent="0.35">
      <c r="A25" s="19"/>
      <c r="B25" s="19"/>
      <c r="C25" s="19"/>
      <c r="D25" s="19"/>
      <c r="E25" s="19"/>
      <c r="F25" s="19"/>
      <c r="G25" s="19"/>
      <c r="H25" s="19"/>
      <c r="I25" s="30"/>
    </row>
    <row r="26" spans="1:9" x14ac:dyDescent="0.35">
      <c r="A26" s="19"/>
      <c r="B26" s="19"/>
      <c r="C26" s="19"/>
      <c r="D26" s="19"/>
      <c r="E26" s="19"/>
      <c r="F26" s="19"/>
      <c r="G26" s="19"/>
      <c r="H26" s="19"/>
      <c r="I26" s="30"/>
    </row>
    <row r="27" spans="1:9" x14ac:dyDescent="0.35">
      <c r="A27" s="20" t="s">
        <v>28</v>
      </c>
      <c r="B27" s="19"/>
      <c r="C27" s="19"/>
      <c r="D27" s="19"/>
      <c r="E27" s="19"/>
      <c r="F27" s="19"/>
      <c r="G27" s="19"/>
      <c r="H27" s="19"/>
      <c r="I27" s="30"/>
    </row>
    <row r="28" spans="1:9" x14ac:dyDescent="0.35">
      <c r="A28" s="53" t="s">
        <v>46</v>
      </c>
      <c r="B28" s="54"/>
      <c r="C28" s="54"/>
      <c r="D28" s="54"/>
      <c r="E28" s="54"/>
      <c r="F28" s="54"/>
      <c r="G28" s="54"/>
      <c r="H28" s="54"/>
      <c r="I28" s="54"/>
    </row>
    <row r="29" spans="1:9" x14ac:dyDescent="0.35">
      <c r="A29" s="54"/>
      <c r="B29" s="54"/>
      <c r="C29" s="54"/>
      <c r="D29" s="54"/>
      <c r="E29" s="54"/>
      <c r="F29" s="54"/>
      <c r="G29" s="54"/>
      <c r="H29" s="54"/>
      <c r="I29" s="54"/>
    </row>
    <row r="30" spans="1:9" x14ac:dyDescent="0.35">
      <c r="A30" s="54"/>
      <c r="B30" s="54"/>
      <c r="C30" s="54"/>
      <c r="D30" s="54"/>
      <c r="E30" s="54"/>
      <c r="F30" s="54"/>
      <c r="G30" s="54"/>
      <c r="H30" s="54"/>
      <c r="I30" s="54"/>
    </row>
    <row r="31" spans="1:9" x14ac:dyDescent="0.35">
      <c r="A31" s="54"/>
      <c r="B31" s="54"/>
      <c r="C31" s="54"/>
      <c r="D31" s="54"/>
      <c r="E31" s="54"/>
      <c r="F31" s="54"/>
      <c r="G31" s="54"/>
      <c r="H31" s="54"/>
      <c r="I31" s="54"/>
    </row>
    <row r="32" spans="1:9" x14ac:dyDescent="0.35">
      <c r="A32" s="54"/>
      <c r="B32" s="54"/>
      <c r="C32" s="54"/>
      <c r="D32" s="54"/>
      <c r="E32" s="54"/>
      <c r="F32" s="54"/>
      <c r="G32" s="54"/>
      <c r="H32" s="54"/>
      <c r="I32" s="54"/>
    </row>
    <row r="33" spans="1:9" x14ac:dyDescent="0.35">
      <c r="A33" s="54"/>
      <c r="B33" s="54"/>
      <c r="C33" s="54"/>
      <c r="D33" s="54"/>
      <c r="E33" s="54"/>
      <c r="F33" s="54"/>
      <c r="G33" s="54"/>
      <c r="H33" s="54"/>
      <c r="I33" s="54"/>
    </row>
    <row r="34" spans="1:9" x14ac:dyDescent="0.35">
      <c r="A34" s="54"/>
      <c r="B34" s="54"/>
      <c r="C34" s="54"/>
      <c r="D34" s="54"/>
      <c r="E34" s="54"/>
      <c r="F34" s="54"/>
      <c r="G34" s="54"/>
      <c r="H34" s="54"/>
      <c r="I34" s="54"/>
    </row>
    <row r="35" spans="1:9" x14ac:dyDescent="0.35">
      <c r="A35" s="54"/>
      <c r="B35" s="54"/>
      <c r="C35" s="54"/>
      <c r="D35" s="54"/>
      <c r="E35" s="54"/>
      <c r="F35" s="54"/>
      <c r="G35" s="54"/>
      <c r="H35" s="54"/>
      <c r="I35" s="54"/>
    </row>
    <row r="36" spans="1:9" x14ac:dyDescent="0.35">
      <c r="A36" s="54"/>
      <c r="B36" s="54"/>
      <c r="C36" s="54"/>
      <c r="D36" s="54"/>
      <c r="E36" s="54"/>
      <c r="F36" s="54"/>
      <c r="G36" s="54"/>
      <c r="H36" s="54"/>
      <c r="I36" s="54"/>
    </row>
    <row r="37" spans="1:9" x14ac:dyDescent="0.35">
      <c r="A37" s="54"/>
      <c r="B37" s="54"/>
      <c r="C37" s="54"/>
      <c r="D37" s="54"/>
      <c r="E37" s="54"/>
      <c r="F37" s="54"/>
      <c r="G37" s="54"/>
      <c r="H37" s="54"/>
      <c r="I37" s="54"/>
    </row>
    <row r="38" spans="1:9" x14ac:dyDescent="0.35">
      <c r="A38" s="54"/>
      <c r="B38" s="54"/>
      <c r="C38" s="54"/>
      <c r="D38" s="54"/>
      <c r="E38" s="54"/>
      <c r="F38" s="54"/>
      <c r="G38" s="54"/>
      <c r="H38" s="54"/>
      <c r="I38" s="54"/>
    </row>
    <row r="39" spans="1:9" x14ac:dyDescent="0.35">
      <c r="A39" s="54"/>
      <c r="B39" s="54"/>
      <c r="C39" s="54"/>
      <c r="D39" s="54"/>
      <c r="E39" s="54"/>
      <c r="F39" s="54"/>
      <c r="G39" s="54"/>
      <c r="H39" s="54"/>
      <c r="I39" s="54"/>
    </row>
    <row r="40" spans="1:9" x14ac:dyDescent="0.35">
      <c r="A40" s="54"/>
      <c r="B40" s="54"/>
      <c r="C40" s="54"/>
      <c r="D40" s="54"/>
      <c r="E40" s="54"/>
      <c r="F40" s="54"/>
      <c r="G40" s="54"/>
      <c r="H40" s="54"/>
      <c r="I40" s="54"/>
    </row>
    <row r="41" spans="1:9" x14ac:dyDescent="0.35">
      <c r="A41" s="54"/>
      <c r="B41" s="54"/>
      <c r="C41" s="54"/>
      <c r="D41" s="54"/>
      <c r="E41" s="54"/>
      <c r="F41" s="54"/>
      <c r="G41" s="54"/>
      <c r="H41" s="54"/>
      <c r="I41" s="54"/>
    </row>
    <row r="42" spans="1:9" ht="131.25" customHeight="1" x14ac:dyDescent="0.35">
      <c r="A42" s="54"/>
      <c r="B42" s="54"/>
      <c r="C42" s="54"/>
      <c r="D42" s="54"/>
      <c r="E42" s="54"/>
      <c r="F42" s="54"/>
      <c r="G42" s="54"/>
      <c r="H42" s="54"/>
      <c r="I42" s="54"/>
    </row>
  </sheetData>
  <mergeCells count="15">
    <mergeCell ref="H5:I5"/>
    <mergeCell ref="B14:F14"/>
    <mergeCell ref="B15:F15"/>
    <mergeCell ref="B16:F16"/>
    <mergeCell ref="B17:F17"/>
    <mergeCell ref="A23:H23"/>
    <mergeCell ref="A24:H24"/>
    <mergeCell ref="A6:C11"/>
    <mergeCell ref="D6:F11"/>
    <mergeCell ref="A28:I42"/>
    <mergeCell ref="B18:F18"/>
    <mergeCell ref="B19:F19"/>
    <mergeCell ref="B20:F20"/>
    <mergeCell ref="A21:H21"/>
    <mergeCell ref="A22:H22"/>
  </mergeCells>
  <pageMargins left="0.7" right="0.7" top="0.75" bottom="0.75" header="0.3" footer="0.3"/>
  <pageSetup orientation="portrait"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LAIN</vt:lpstr>
      <vt:lpstr>SAMPUL RAYA AL</vt:lpstr>
      <vt:lpstr>PAKEJ BANNER (2)</vt:lpstr>
      <vt:lpstr>STICKER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W10X</dc:creator>
  <cp:lastModifiedBy>Harith Khairudin</cp:lastModifiedBy>
  <cp:lastPrinted>2026-06-22T03:05:17Z</cp:lastPrinted>
  <dcterms:created xsi:type="dcterms:W3CDTF">2026-06-11T01:26:41Z</dcterms:created>
  <dcterms:modified xsi:type="dcterms:W3CDTF">2026-06-23T14:56:52Z</dcterms:modified>
</cp:coreProperties>
</file>